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ima\Downloads\"/>
    </mc:Choice>
  </mc:AlternateContent>
  <xr:revisionPtr revIDLastSave="0" documentId="13_ncr:1_{87D96D98-8199-4C09-80D9-3D1785145D6A}" xr6:coauthVersionLast="47" xr6:coauthVersionMax="47" xr10:uidLastSave="{00000000-0000-0000-0000-000000000000}"/>
  <bookViews>
    <workbookView minimized="1" xWindow="1860" yWindow="1860" windowWidth="14400" windowHeight="8250" activeTab="4" xr2:uid="{00000000-000D-0000-FFFF-FFFF00000000}"/>
  </bookViews>
  <sheets>
    <sheet name="Cover Sheet" sheetId="1" r:id="rId1"/>
    <sheet name="1 - input data" sheetId="2" r:id="rId2"/>
    <sheet name="Stay scenario" sheetId="3" r:id="rId3"/>
    <sheet name="leave scenario" sheetId="4" r:id="rId4"/>
    <sheet name="result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<sst xmlns="http://schemas.openxmlformats.org/spreadsheetml/2006/main" count="70" uniqueCount="61">
  <si>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New York Taxi Driver Case Study - Data</t>
  </si>
  <si>
    <t>Variable</t>
  </si>
  <si>
    <t>Value</t>
  </si>
  <si>
    <t>Comment</t>
  </si>
  <si>
    <r>
      <t xml:space="preserve">Time in queue, </t>
    </r>
    <r>
      <rPr>
        <i/>
        <sz val="11"/>
        <color theme="1"/>
        <rFont val="Calibri"/>
        <family val="2"/>
        <scheme val="minor"/>
      </rPr>
      <t>in hours</t>
    </r>
  </si>
  <si>
    <r>
      <t xml:space="preserve">Fare, 1st mile, </t>
    </r>
    <r>
      <rPr>
        <i/>
        <sz val="11"/>
        <color theme="1"/>
        <rFont val="Calibri"/>
        <family val="2"/>
        <scheme val="minor"/>
      </rPr>
      <t>in USD</t>
    </r>
  </si>
  <si>
    <t>Includes flag drop charge</t>
  </si>
  <si>
    <r>
      <t xml:space="preserve">Fare, additional mile, </t>
    </r>
    <r>
      <rPr>
        <i/>
        <sz val="11"/>
        <color theme="1"/>
        <rFont val="Calibri"/>
        <family val="2"/>
        <scheme val="minor"/>
      </rPr>
      <t>in USD</t>
    </r>
  </si>
  <si>
    <r>
      <t xml:space="preserve">Tips, </t>
    </r>
    <r>
      <rPr>
        <i/>
        <sz val="11"/>
        <color theme="1"/>
        <rFont val="Calibri"/>
        <family val="2"/>
        <scheme val="minor"/>
      </rPr>
      <t>in % of fare</t>
    </r>
  </si>
  <si>
    <r>
      <t xml:space="preserve">Toll, </t>
    </r>
    <r>
      <rPr>
        <i/>
        <sz val="11"/>
        <color theme="1"/>
        <rFont val="Calibri"/>
        <family val="2"/>
        <scheme val="minor"/>
      </rPr>
      <t>in USD</t>
    </r>
  </si>
  <si>
    <t>There is a $3 tunnel/bridge between LaGuardia and Manhattan</t>
  </si>
  <si>
    <r>
      <t xml:space="preserve">Passenger share of toll, </t>
    </r>
    <r>
      <rPr>
        <i/>
        <sz val="11"/>
        <color theme="1"/>
        <rFont val="Calibri"/>
        <family val="2"/>
        <scheme val="minor"/>
      </rPr>
      <t>in %</t>
    </r>
  </si>
  <si>
    <r>
      <t xml:space="preserve">Distance LaGuardia-Manhattan, </t>
    </r>
    <r>
      <rPr>
        <i/>
        <sz val="11"/>
        <color theme="1"/>
        <rFont val="Calibri"/>
        <family val="2"/>
        <scheme val="minor"/>
      </rPr>
      <t>in Miles</t>
    </r>
  </si>
  <si>
    <r>
      <t xml:space="preserve">Car ownership costs, </t>
    </r>
    <r>
      <rPr>
        <i/>
        <sz val="11"/>
        <color theme="1"/>
        <rFont val="Calibri"/>
        <family val="2"/>
        <scheme val="minor"/>
      </rPr>
      <t>in % of fare</t>
    </r>
  </si>
  <si>
    <t>Car is owned by a cab company. Driver gives 50% of fees to cab company</t>
  </si>
  <si>
    <r>
      <t xml:space="preserve">Fuel consumption, city, </t>
    </r>
    <r>
      <rPr>
        <i/>
        <sz val="11"/>
        <color theme="1"/>
        <rFont val="Calibri"/>
        <family val="2"/>
        <scheme val="minor"/>
      </rPr>
      <t>in miles per gallon</t>
    </r>
  </si>
  <si>
    <r>
      <t xml:space="preserve">Fuel consumption, highway, </t>
    </r>
    <r>
      <rPr>
        <i/>
        <sz val="11"/>
        <color theme="1"/>
        <rFont val="Calibri"/>
        <family val="2"/>
        <scheme val="minor"/>
      </rPr>
      <t>in miles per gallon</t>
    </r>
  </si>
  <si>
    <t>Fuel consumption in the city</t>
  </si>
  <si>
    <t>Fuel consumption on highways</t>
  </si>
  <si>
    <r>
      <t xml:space="preserve">Fuel price, </t>
    </r>
    <r>
      <rPr>
        <i/>
        <sz val="11"/>
        <color theme="1"/>
        <rFont val="Calibri"/>
        <family val="2"/>
        <scheme val="minor"/>
      </rPr>
      <t>in USD per gallon</t>
    </r>
  </si>
  <si>
    <t>This workbook contains data for the New York Taxi Driver Case Study. 
Sheet 1 "1 - input data" contains data for both scenario.</t>
  </si>
  <si>
    <r>
      <t xml:space="preserve">Average inner-city tour distance, </t>
    </r>
    <r>
      <rPr>
        <i/>
        <sz val="11"/>
        <color theme="1"/>
        <rFont val="Calibri"/>
        <family val="2"/>
        <scheme val="minor"/>
      </rPr>
      <t>in Miles</t>
    </r>
  </si>
  <si>
    <t>Each trip in Manhattan has an average length of 2 miles (we neglect shorter/longer trips) - Leave scenario</t>
  </si>
  <si>
    <t>Average time to wait at the airport (no differentiation of time of day in this case study) - Stay scenario</t>
  </si>
  <si>
    <r>
      <t>Average inner-city driving speed</t>
    </r>
    <r>
      <rPr>
        <i/>
        <sz val="11"/>
        <color theme="1"/>
        <rFont val="Calibri"/>
        <family val="2"/>
        <scheme val="minor"/>
      </rPr>
      <t>, in Miles per hour</t>
    </r>
  </si>
  <si>
    <t>Passenger pays the toll (if one is in the cab)</t>
  </si>
  <si>
    <r>
      <t xml:space="preserve">Average search time between trip, </t>
    </r>
    <r>
      <rPr>
        <i/>
        <sz val="11"/>
        <color theme="1"/>
        <rFont val="Calibri"/>
        <family val="2"/>
        <scheme val="minor"/>
      </rPr>
      <t>in minutes</t>
    </r>
  </si>
  <si>
    <t>Average driving speed looking for passengers/having passengers in Manhattan - Leave scenario</t>
  </si>
  <si>
    <t>Driving In the city results in one tour after (on average) 10 minutes of wait time - Leave scenario</t>
  </si>
  <si>
    <t>Data sheet for both scenarios</t>
  </si>
  <si>
    <t>Passenger pays 15% tip on top of the fare; tips are rounded to the nearest Dollar</t>
  </si>
  <si>
    <t>Each trip from LaGuardia to Manhattan has an average length of 12 miles (we neglect shorter/longer trips), assume this is all highway</t>
  </si>
  <si>
    <t>Fuel consumption, waiting at airport</t>
  </si>
  <si>
    <r>
      <t xml:space="preserve">Average high-way speed, </t>
    </r>
    <r>
      <rPr>
        <i/>
        <sz val="11"/>
        <color theme="1"/>
        <rFont val="Calibri"/>
        <family val="2"/>
        <scheme val="minor"/>
      </rPr>
      <t>in Miles per hour</t>
    </r>
  </si>
  <si>
    <t>Average driving speed driving on the highway from the Airport to Manhattan</t>
  </si>
  <si>
    <t>Revenue</t>
  </si>
  <si>
    <t>Distance from airport to city multiply with fare</t>
  </si>
  <si>
    <t>Tip</t>
  </si>
  <si>
    <t>Fuel consumption in highway</t>
  </si>
  <si>
    <t>Money giving to company</t>
  </si>
  <si>
    <t>Toll</t>
  </si>
  <si>
    <t>passenger is paying the toll</t>
  </si>
  <si>
    <t>Total profit</t>
  </si>
  <si>
    <t xml:space="preserve">Total time </t>
  </si>
  <si>
    <t>Calculation sheet for Stay  scenario</t>
  </si>
  <si>
    <t>transfer time</t>
  </si>
  <si>
    <t>transfer fuel cost</t>
  </si>
  <si>
    <t>Toll paid by driver</t>
  </si>
  <si>
    <t>search time for trip, in hours</t>
  </si>
  <si>
    <t>time needed per trip, in hours</t>
  </si>
  <si>
    <t>miles covered between search time</t>
  </si>
  <si>
    <t>total fuel consumption cost per trip</t>
  </si>
  <si>
    <t>total possible trip</t>
  </si>
  <si>
    <t>Revenue per trip</t>
  </si>
  <si>
    <t>Car ownership cost</t>
  </si>
  <si>
    <t>Total profit per trip</t>
  </si>
  <si>
    <t>Results for the New York Taxi Driver case study</t>
  </si>
  <si>
    <t>Stay scenario</t>
  </si>
  <si>
    <t>Leave scenario</t>
  </si>
  <si>
    <t>Total time, in hours</t>
  </si>
  <si>
    <t>Total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</si>
</sst>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3" borderId="3" applyNumberFormat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3"/>
    <xf numFmtId="0" fontId="1" fillId="0" borderId="1" xfId="1"/>
    <xf numFmtId="0" fontId="6" fillId="0" borderId="0" xfId="0" applyFont="1"/>
    <xf numFmtId="0" fontId="2" fillId="2" borderId="2" xfId="2"/>
    <xf numFmtId="0" fontId="0" fillId="0" borderId="0" xfId="0" applyAlignment="1">
      <alignment horizontal="left" vertical="top" wrapText="1"/>
    </xf>
    <xf numFmtId="0" fontId="0" fillId="4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4"/>
    <xf numFmtId="0" fontId="7" fillId="3" borderId="3" xfId="5"/>
    <xf numFmtId="164" fontId="7" fillId="3" borderId="3" xfId="5" applyNumberFormat="1"/>
  </cellXfs>
  <cellStyles count="6">
    <cellStyle name="Explanatory Text" xfId="3" builtinId="53"/>
    <cellStyle name="Heading 3" xfId="1" builtinId="18"/>
    <cellStyle name="Heading 4" xfId="4" builtinId="19"/>
    <cellStyle name="Input" xfId="2" builtinId="20"/>
    <cellStyle name="Normal" xfId="0" builtinId="0"/>
    <cellStyle name="Output" xfId="5" builtinId="21"/>
  </cellStyles>
  <dxfs count="13">
    <dxf>
      <fill>
        <patternFill>
          <bgColor rgb="FFFFFF00"/>
        </patternFill>
      </fill>
    </dxf>
    <dxf>
      <font>
        <color theme="9"/>
      </font>
    </dxf>
    <dxf>
      <fill>
        <patternFill>
          <bgColor rgb="FF92D050"/>
        </patternFill>
      </fill>
    </dxf>
    <dxf>
      <font>
        <color theme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9"/>
      </font>
    </dxf>
    <dxf>
      <fill>
        <patternFill>
          <bgColor rgb="FF92D050"/>
        </patternFill>
      </fill>
    </dxf>
    <dxf>
      <font>
        <color theme="9"/>
      </font>
    </dxf>
    <dxf>
      <fill>
        <patternFill>
          <bgColor rgb="FFFFFF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392111</xdr:colOff>
      <xdr:row>0</xdr:row>
      <xdr:rowOff>131762</xdr:rowOff>
    </xdr:from>
    <xdr:to>
      <xdr:col>9</xdr:col>
      <xdr:colOff>571498</xdr:colOff>
      <xdr:row>5</xdr:row>
      <xdr:rowOff>134937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700461" y="131762"/>
          <a:ext cx="2008187" cy="923925"/>
          <a:chOff x="4425" y="3748"/>
          <a:chExt cx="1335" cy="572"/>
        </a:xfrm>
      </xdr:grpSpPr>
      <xdr:pic>
        <xdr:nvPicPr>
          <xdr:cNvPr id="3" name="Picture 2" descr="Kästchen-weiss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425" y="3748"/>
            <a:ext cx="1335" cy="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Logo-RGB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613" y="3864"/>
            <a:ext cx="834" cy="2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zoomScaleNormal="100" workbookViewId="0">
      <selection activeCell="B3" sqref="B3"/>
    </sheetView>
  </sheetViews>
  <sheetFormatPr defaultRowHeight="14.5" x14ac:dyDescent="0.35"/>
  <cols>
    <col min="1" max="1" width="3.7265625" customWidth="1"/>
  </cols>
  <sheetData>
    <row r="2" spans="2:9" x14ac:dyDescent="0.35">
      <c r="B2" s="1"/>
    </row>
    <row r="3" spans="2:9" x14ac:dyDescent="0.35">
      <c r="B3" s="1" t="s">
        <v>0</v>
      </c>
    </row>
    <row r="7" spans="2:9" ht="42.75" customHeight="1" x14ac:dyDescent="0.35">
      <c r="B7" s="6" t="s">
        <v>20</v>
      </c>
      <c r="C7" s="6"/>
      <c r="D7" s="6"/>
      <c r="E7" s="6"/>
      <c r="F7" s="6"/>
      <c r="G7" s="6"/>
      <c r="H7" s="6"/>
      <c r="I7" s="6"/>
    </row>
    <row r="8" spans="2:9" x14ac:dyDescent="0.35">
      <c r="B8" s="6"/>
      <c r="C8" s="6"/>
      <c r="D8" s="6"/>
      <c r="E8" s="6"/>
      <c r="F8" s="6"/>
      <c r="G8" s="6"/>
      <c r="H8" s="6"/>
      <c r="I8" s="6"/>
    </row>
    <row r="9" spans="2:9" x14ac:dyDescent="0.35">
      <c r="B9" s="6"/>
      <c r="C9" s="6"/>
      <c r="D9" s="6"/>
      <c r="E9" s="6"/>
      <c r="F9" s="6"/>
      <c r="G9" s="6"/>
      <c r="H9" s="6"/>
      <c r="I9" s="6"/>
    </row>
    <row r="10" spans="2:9" x14ac:dyDescent="0.35">
      <c r="B10" s="6"/>
      <c r="C10" s="6"/>
      <c r="D10" s="6"/>
      <c r="E10" s="6"/>
      <c r="F10" s="6"/>
      <c r="G10" s="6"/>
      <c r="H10" s="6"/>
      <c r="I10" s="6"/>
    </row>
    <row r="11" spans="2:9" x14ac:dyDescent="0.35">
      <c r="B11" s="6"/>
      <c r="C11" s="6"/>
      <c r="D11" s="6"/>
      <c r="E11" s="6"/>
      <c r="F11" s="6"/>
      <c r="G11" s="6"/>
      <c r="H11" s="6"/>
      <c r="I11" s="6"/>
    </row>
    <row r="12" spans="2:9" x14ac:dyDescent="0.35">
      <c r="B12" s="6"/>
      <c r="C12" s="6"/>
      <c r="D12" s="6"/>
      <c r="E12" s="6"/>
      <c r="F12" s="6"/>
      <c r="G12" s="6"/>
      <c r="H12" s="6"/>
      <c r="I12" s="6"/>
    </row>
    <row r="13" spans="2:9" x14ac:dyDescent="0.35">
      <c r="B13" s="6"/>
      <c r="C13" s="6"/>
      <c r="D13" s="6"/>
      <c r="E13" s="6"/>
      <c r="F13" s="6"/>
      <c r="G13" s="6"/>
      <c r="H13" s="6"/>
      <c r="I13" s="6"/>
    </row>
    <row r="14" spans="2:9" x14ac:dyDescent="0.35">
      <c r="B14" s="6"/>
      <c r="C14" s="6"/>
      <c r="D14" s="6"/>
      <c r="E14" s="6"/>
      <c r="F14" s="6"/>
      <c r="G14" s="6"/>
      <c r="H14" s="6"/>
      <c r="I14" s="6"/>
    </row>
    <row r="15" spans="2:9" x14ac:dyDescent="0.35">
      <c r="B15" s="6"/>
      <c r="C15" s="6"/>
      <c r="D15" s="6"/>
      <c r="E15" s="6"/>
      <c r="F15" s="6"/>
      <c r="G15" s="6"/>
      <c r="H15" s="6"/>
      <c r="I15" s="6"/>
    </row>
  </sheetData>
  <mergeCells count="1">
    <mergeCell ref="B7:I1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1" sqref="C11"/>
    </sheetView>
  </sheetViews>
  <sheetFormatPr defaultRowHeight="14.5" x14ac:dyDescent="0.35"/>
  <cols>
    <col min="1" max="1" width="4.36328125" customWidth="1"/>
    <col min="2" max="2" width="41.08984375" bestFit="1" customWidth="1"/>
    <col min="4" max="4" width="88" bestFit="1" customWidth="1"/>
  </cols>
  <sheetData>
    <row r="1" spans="1:4" x14ac:dyDescent="0.35">
      <c r="A1" s="4" t="s">
        <v>29</v>
      </c>
    </row>
    <row r="3" spans="1:4" ht="15" thickBot="1" x14ac:dyDescent="0.4">
      <c r="B3" s="3" t="s">
        <v>1</v>
      </c>
      <c r="C3" s="3" t="s">
        <v>2</v>
      </c>
      <c r="D3" s="3" t="s">
        <v>3</v>
      </c>
    </row>
    <row r="4" spans="1:4" x14ac:dyDescent="0.35">
      <c r="B4" t="s">
        <v>4</v>
      </c>
      <c r="C4" s="5">
        <v>2</v>
      </c>
      <c r="D4" s="2" t="s">
        <v>23</v>
      </c>
    </row>
    <row r="5" spans="1:4" x14ac:dyDescent="0.35">
      <c r="B5" s="7" t="s">
        <v>5</v>
      </c>
      <c r="C5" s="5">
        <v>4</v>
      </c>
      <c r="D5" s="2" t="s">
        <v>6</v>
      </c>
    </row>
    <row r="6" spans="1:4" x14ac:dyDescent="0.35">
      <c r="B6" s="7" t="s">
        <v>7</v>
      </c>
      <c r="C6" s="5">
        <v>2</v>
      </c>
      <c r="D6" s="2"/>
    </row>
    <row r="7" spans="1:4" x14ac:dyDescent="0.35">
      <c r="B7" s="7" t="s">
        <v>8</v>
      </c>
      <c r="C7" s="5">
        <v>15</v>
      </c>
      <c r="D7" s="2" t="s">
        <v>30</v>
      </c>
    </row>
    <row r="8" spans="1:4" x14ac:dyDescent="0.35">
      <c r="B8" t="s">
        <v>9</v>
      </c>
      <c r="C8" s="5">
        <v>3</v>
      </c>
      <c r="D8" s="2" t="s">
        <v>10</v>
      </c>
    </row>
    <row r="9" spans="1:4" x14ac:dyDescent="0.35">
      <c r="B9" t="s">
        <v>11</v>
      </c>
      <c r="C9" s="5">
        <v>100</v>
      </c>
      <c r="D9" s="2" t="s">
        <v>25</v>
      </c>
    </row>
    <row r="10" spans="1:4" x14ac:dyDescent="0.35">
      <c r="B10" t="s">
        <v>12</v>
      </c>
      <c r="C10" s="5">
        <v>12</v>
      </c>
      <c r="D10" s="2" t="s">
        <v>31</v>
      </c>
    </row>
    <row r="11" spans="1:4" x14ac:dyDescent="0.35">
      <c r="B11" t="s">
        <v>21</v>
      </c>
      <c r="C11" s="5">
        <v>2</v>
      </c>
      <c r="D11" s="2" t="s">
        <v>22</v>
      </c>
    </row>
    <row r="12" spans="1:4" x14ac:dyDescent="0.35">
      <c r="B12" t="s">
        <v>13</v>
      </c>
      <c r="C12" s="5">
        <v>50</v>
      </c>
      <c r="D12" s="2" t="s">
        <v>14</v>
      </c>
    </row>
    <row r="13" spans="1:4" x14ac:dyDescent="0.35">
      <c r="B13" t="s">
        <v>15</v>
      </c>
      <c r="C13" s="5">
        <v>12</v>
      </c>
      <c r="D13" s="2" t="s">
        <v>17</v>
      </c>
    </row>
    <row r="14" spans="1:4" x14ac:dyDescent="0.35">
      <c r="B14" t="s">
        <v>16</v>
      </c>
      <c r="C14" s="5">
        <v>24</v>
      </c>
      <c r="D14" s="2" t="s">
        <v>18</v>
      </c>
    </row>
    <row r="15" spans="1:4" x14ac:dyDescent="0.35">
      <c r="B15" t="s">
        <v>32</v>
      </c>
      <c r="C15" s="5">
        <v>0</v>
      </c>
      <c r="D15" s="2"/>
    </row>
    <row r="16" spans="1:4" x14ac:dyDescent="0.35">
      <c r="B16" t="s">
        <v>19</v>
      </c>
      <c r="C16" s="5">
        <v>2</v>
      </c>
      <c r="D16" s="2"/>
    </row>
    <row r="17" spans="2:4" x14ac:dyDescent="0.35">
      <c r="B17" t="s">
        <v>24</v>
      </c>
      <c r="C17" s="5">
        <v>12</v>
      </c>
      <c r="D17" s="2" t="s">
        <v>27</v>
      </c>
    </row>
    <row r="18" spans="2:4" x14ac:dyDescent="0.35">
      <c r="B18" t="s">
        <v>33</v>
      </c>
      <c r="C18" s="5">
        <v>36</v>
      </c>
      <c r="D18" s="2" t="s">
        <v>34</v>
      </c>
    </row>
    <row r="19" spans="2:4" x14ac:dyDescent="0.35">
      <c r="B19" t="s">
        <v>26</v>
      </c>
      <c r="C19" s="5">
        <v>10</v>
      </c>
      <c r="D19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5C95-92E5-4E94-BEEE-A20468C319D9}">
  <dimension ref="A1:D11"/>
  <sheetViews>
    <sheetView workbookViewId="0">
      <selection activeCell="C6" sqref="C6"/>
    </sheetView>
  </sheetViews>
  <sheetFormatPr defaultRowHeight="14.5" x14ac:dyDescent="0.35"/>
  <cols>
    <col min="2" max="2" width="25.36328125" bestFit="1" customWidth="1"/>
    <col min="4" max="4" width="39.81640625" bestFit="1" customWidth="1"/>
  </cols>
  <sheetData>
    <row r="1" spans="1:4" x14ac:dyDescent="0.35">
      <c r="A1" s="8" t="inlineStr">
        <is>
          <t>Calculation sheet for Stay scenario</t>
        </is>
      </c>
      <c r="B1" s="8"/>
      <c r="C1" s="8"/>
    </row>
    <row r="4" spans="1:4" ht="15" thickBot="1" x14ac:dyDescent="0.4">
      <c r="B4" s="3" t="s">
        <v>1</v>
      </c>
      <c r="C4" s="3" t="s">
        <v>2</v>
      </c>
      <c r="D4" s="3" t="s">
        <v>3</v>
      </c>
    </row>
    <row r="5" spans="1:4" x14ac:dyDescent="0.35">
      <c r="B5" t="s">
        <v>35</v>
      </c>
      <c r="C5">
        <f>'1 - input data'!C5+('1 - input data'!C10-1)*'1 - input data'!C6</f>
        <v>26</v>
      </c>
      <c r="D5" t="s">
        <v>36</v>
      </c>
    </row>
    <row r="6" spans="1:4" x14ac:dyDescent="0.35">
      <c r="B6" t="s">
        <v>37</v>
      </c>
      <c r="C6">
        <f>ROUND(C5*'1 - input data'!C7/100,0)</f>
        <v>4</v>
      </c>
    </row>
    <row r="7" spans="1:4" x14ac:dyDescent="0.35">
      <c r="B7" t="s">
        <v>38</v>
      </c>
      <c r="C7">
        <f>'1 - input data'!C10/'1 - input data'!C14*'1 - input data'!C16</f>
        <v>1</v>
      </c>
    </row>
    <row r="8" spans="1:4" x14ac:dyDescent="0.35">
      <c r="B8" t="s">
        <v>39</v>
      </c>
      <c r="C8">
        <f>'Stay scenario'!C5*'1 - input data'!C12/100</f>
        <v>13</v>
      </c>
    </row>
    <row r="9" x14ac:dyDescent="0.35">
      <c r="B9" t="s">
        <v>40</v>
      </c>
      <c r="C9">
        <f>(1-'1 - input data'!C9/100)*'1 - input data'!C8</f>
      </c>
      <c r="D9" t="s">
        <v>41</v>
      </c>
    </row>
    <row r="10" spans="1:4" x14ac:dyDescent="0.35">
      <c r="B10" t="s">
        <v>42</v>
      </c>
      <c r="C10">
        <f>C5+C6-C7-C8-C9</f>
      </c>
    </row>
    <row r="11" spans="1:4" x14ac:dyDescent="0.35">
      <c r="B11" t="s">
        <v>43</v>
      </c>
      <c r="C11">
        <f>'1 - input data'!C4+'1 - input data'!C10/'1 - input data'!C18</f>
        <v>2.3333333333333335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4D16-E7C2-4C56-BDBF-E3994E265DCD}">
  <dimension ref="A1:D17"/>
  <sheetViews>
    <sheetView topLeftCell="A2" workbookViewId="0">
      <selection activeCell="B18" sqref="B18"/>
    </sheetView>
  </sheetViews>
  <sheetFormatPr defaultRowHeight="14.5" x14ac:dyDescent="0.35"/>
  <cols>
    <col min="2" max="2" width="31.1796875" customWidth="1"/>
  </cols>
  <sheetData>
    <row r="1" spans="1:4" x14ac:dyDescent="0.35">
      <c r="A1" s="9" t="inlineStr">
        <is>
          <t>Calculation sheet for Leave scenario</t>
        </is>
      </c>
      <c r="B1" s="9"/>
      <c r="C1" s="9"/>
      <c r="D1" s="9"/>
    </row>
    <row r="4" spans="1:4" ht="15" thickBot="1" x14ac:dyDescent="0.4">
      <c r="B4" s="3" t="s">
        <v>1</v>
      </c>
      <c r="C4" s="3" t="s">
        <v>2</v>
      </c>
      <c r="D4" s="3" t="s">
        <v>3</v>
      </c>
    </row>
    <row r="5" spans="1:4" x14ac:dyDescent="0.35">
      <c r="B5" t="s">
        <v>45</v>
      </c>
      <c r="C5">
        <f>'1 - input data'!C10/'1 - input data'!C18</f>
        <v>0.33333333333333331</v>
      </c>
    </row>
    <row r="6" spans="1:4" x14ac:dyDescent="0.35">
      <c r="B6" t="s">
        <v>46</v>
      </c>
      <c r="C6">
        <f>'1 - input data'!C10/'1 - input data'!C14*'1 - input data'!C16</f>
        <v>1</v>
      </c>
    </row>
    <row r="7" spans="1:4" x14ac:dyDescent="0.35">
      <c r="B7" t="s">
        <v>47</v>
      </c>
      <c r="C7">
        <f>'1 - input data'!C8</f>
        <v>3</v>
      </c>
    </row>
    <row r="8" spans="1:4" x14ac:dyDescent="0.35">
      <c r="B8" t="s">
        <v>48</v>
      </c>
      <c r="C8">
        <f>'1 - input data'!C19/60</f>
        <v>0.16666666666666666</v>
      </c>
    </row>
    <row r="9" spans="1:4" x14ac:dyDescent="0.35">
      <c r="B9" t="s">
        <v>49</v>
      </c>
      <c r="C9">
        <f>'leave scenario'!C8+'1 - input data'!C11/'1 - input data'!C17</f>
        <v>0.33333333333333331</v>
      </c>
    </row>
    <row r="10" spans="1:4" x14ac:dyDescent="0.35">
      <c r="B10" t="s">
        <v>50</v>
      </c>
      <c r="C10">
        <f>'leave scenario'!C8*'1 - input data'!C17</f>
        <v>2</v>
      </c>
    </row>
    <row r="11" spans="1:4" x14ac:dyDescent="0.35">
      <c r="B11" t="s">
        <v>51</v>
      </c>
      <c r="C11">
        <f>(C10+'1 - input data'!C11)/'1 - input data'!C13*'1 - input data'!C16</f>
        <v>0.66666666666666663</v>
      </c>
    </row>
    <row r="12" spans="1:4" x14ac:dyDescent="0.35">
      <c r="B12" t="s">
        <v>52</v>
      </c>
      <c r="C12">
        <f>('Stay scenario'!C11-'leave scenario'!C5)/'leave scenario'!C9</f>
        <v>6</v>
      </c>
    </row>
    <row r="13" spans="1:4" x14ac:dyDescent="0.35">
      <c r="B13" t="s">
        <v>53</v>
      </c>
      <c r="C13">
        <f>'1 - input data'!C5+('1 - input data'!C11-1)*'1 - input data'!C6</f>
      </c>
    </row>
    <row r="14" spans="1:4" x14ac:dyDescent="0.35">
      <c r="B14" t="s">
        <v>37</v>
      </c>
      <c r="C14">
        <f>ROUND(C13*'1 - input data'!C7/100,0)</f>
        <v>1</v>
      </c>
    </row>
    <row r="15" spans="1:4" x14ac:dyDescent="0.35">
      <c r="B15" t="s">
        <v>54</v>
      </c>
      <c r="C15">
        <f>C13*'1 - input data'!C12/100</f>
        <v>3</v>
      </c>
    </row>
    <row r="16" spans="1:4" x14ac:dyDescent="0.35">
      <c r="B16" t="s">
        <v>55</v>
      </c>
      <c r="C16">
        <f>C13+C14-C15-C11</f>
        <v>3.3333333333333335</v>
      </c>
    </row>
    <row r="17" spans="2:3" x14ac:dyDescent="0.35">
      <c r="B17" t="inlineStr">
        <is>
          <t>Total profit</t>
        </is>
      </c>
      <c r="C17">
        <f>C12*C16-C7-C6</f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3883-6355-4073-9EC7-8E18F969834B}">
  <dimension ref="A3:E8"/>
  <sheetViews>
    <sheetView tabSelected="1" topLeftCell="A2" workbookViewId="0">
      <selection activeCell="D8" sqref="D8"/>
    </sheetView>
  </sheetViews>
  <sheetFormatPr defaultRowHeight="14.5" x14ac:dyDescent="0.35"/>
  <cols>
    <col min="3" max="3" width="17.08984375" bestFit="1" customWidth="1"/>
    <col min="4" max="4" width="11.81640625" bestFit="1" customWidth="1"/>
    <col min="5" max="5" width="13.08984375" bestFit="1" customWidth="1"/>
  </cols>
  <sheetData>
    <row r="3" spans="1:5" x14ac:dyDescent="0.35">
      <c r="A3" s="8" t="s">
        <v>56</v>
      </c>
      <c r="B3" s="8"/>
      <c r="C3" s="8"/>
      <c r="D3" s="8"/>
      <c r="E3" s="8"/>
    </row>
    <row r="6" spans="1:5" x14ac:dyDescent="0.35">
      <c r="D6" s="10" t="s">
        <v>57</v>
      </c>
      <c r="E6" s="10" t="s">
        <v>58</v>
      </c>
    </row>
    <row r="7" spans="1:5" x14ac:dyDescent="0.35">
      <c r="C7" t="s">
        <v>59</v>
      </c>
      <c r="D7" s="11">
        <f>'Stay scenario'!C11</f>
        <v>2.3333333333333335</v>
      </c>
      <c r="E7" s="11">
        <f>D7</f>
        <v>2.3333333333333335</v>
      </c>
    </row>
    <row r="8" spans="1:5" x14ac:dyDescent="0.35">
      <c r="C8" t="s">
        <v>42</v>
      </c>
      <c r="D8" s="12">
        <f>'Stay scenario'!C10</f>
      </c>
      <c r="E8" s="12">
        <f>'leave scenario'!C17</f>
        <v>16</v>
      </c>
    </row>
  </sheetData>
  <mergeCells count="1">
    <mergeCell ref="A3:E3"/>
  </mergeCells>
  <conditionalFormatting sqref="D8">
    <cfRule type="expression" priority="9">
      <formula>$D$8&gt;$E$8</formula>
    </cfRule>
    <cfRule type="expression" dxfId="8" priority="7">
      <formula>$D$8&gt;$E$8</formula>
    </cfRule>
    <cfRule type="expression" dxfId="9" priority="5">
      <formula>$D$8=$E$8</formula>
    </cfRule>
    <cfRule type="expression" dxfId="7" priority="2">
      <formula>$D$8&gt;$E$8</formula>
    </cfRule>
  </conditionalFormatting>
  <conditionalFormatting sqref="E8">
    <cfRule type="expression" dxfId="3" priority="6">
      <formula>$E$8&gt;$D$8</formula>
    </cfRule>
    <cfRule type="expression" priority="4">
      <formula>$E$8=$D$8</formula>
    </cfRule>
    <cfRule type="expression" dxfId="4" priority="3">
      <formula>$E$8=$D$8</formula>
    </cfRule>
    <cfRule type="expression" dxfId="2" priority="1">
      <formula>$E$8&gt;$D$8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1 - input data</vt:lpstr>
      <vt:lpstr>Stay scenario</vt:lpstr>
      <vt:lpstr>leave scenario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Plattfaut</dc:creator>
  <cp:lastModifiedBy>Imam Hossain</cp:lastModifiedBy>
  <dcterms:created xsi:type="dcterms:W3CDTF">2019-04-04T09:39:41Z</dcterms:created>
  <dcterms:modified xsi:type="dcterms:W3CDTF">2026-05-07T21:42:11Z</dcterms:modified>
</cp:coreProperties>
</file>