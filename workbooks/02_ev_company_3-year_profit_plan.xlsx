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dima\Downloads\"/>
    </mc:Choice>
  </mc:AlternateContent>
  <xr:revisionPtr revIDLastSave="0" documentId="13_ncr:1_{CAD8F1B8-4B81-45F3-BB43-FEF3FFBCF082}" xr6:coauthVersionLast="47" xr6:coauthVersionMax="47" xr10:uidLastSave="{00000000-0000-0000-0000-000000000000}"/>
  <bookViews>
    <workbookView xWindow="-80" yWindow="-80" windowWidth="19360" windowHeight="11440" activeTab="2" xr2:uid="{00000000-000D-0000-FFFF-FFFF00000000}"/>
  </bookViews>
  <sheets>
    <sheet name="Cover Sheet" sheetId="4" r:id="rId1"/>
    <sheet name="input data" sheetId="1" r:id="rId2"/>
    <sheet name="Calculations" sheetId="7" r:id="rId3"/>
    <sheet name="Constants-assumptions" sheetId="5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<sst xmlns="http://schemas.openxmlformats.org/spreadsheetml/2006/main" count="63" uniqueCount="58">
  <si>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Electric car company case study - solution</t>
  </si>
  <si>
    <t>This sheet contains input data for the electric car company case study</t>
  </si>
  <si>
    <t>Constant/assumption</t>
  </si>
  <si>
    <t>Value</t>
  </si>
  <si>
    <t>This sheet contains constants and assumptions for the electric car company case study</t>
  </si>
  <si>
    <t>Tax rate</t>
  </si>
  <si>
    <t>Costs of operating a charger station</t>
  </si>
  <si>
    <t>Comments</t>
  </si>
  <si>
    <t>Yearly costs to operate a charger station</t>
  </si>
  <si>
    <t>Data item</t>
  </si>
  <si>
    <t>Fixed costs (e.g., general and administration)</t>
  </si>
  <si>
    <t>Research and development costs</t>
  </si>
  <si>
    <t>Production cost per vehicle</t>
  </si>
  <si>
    <t>Price per vehicle</t>
  </si>
  <si>
    <t>Number of charger locations</t>
  </si>
  <si>
    <t>status quo</t>
  </si>
  <si>
    <t>Cars sold</t>
  </si>
  <si>
    <t>This sheet is used to calculate profit after taxes of the electric car company</t>
  </si>
  <si>
    <t>Structure</t>
  </si>
  <si>
    <t>Revenue</t>
  </si>
  <si>
    <t>Revenue calculation</t>
  </si>
  <si>
    <t>Vehicles sold</t>
  </si>
  <si>
    <t>Comment</t>
  </si>
  <si>
    <t>Vehicle price stays constant over the years</t>
  </si>
  <si>
    <t>Gas price change in 2020</t>
  </si>
  <si>
    <t>down</t>
  </si>
  <si>
    <t>Gas price change in 2021</t>
  </si>
  <si>
    <t>Gas price change in 2022</t>
  </si>
  <si>
    <t>same</t>
  </si>
  <si>
    <t>up</t>
  </si>
  <si>
    <t>Fuel price change in 2020 (used for gas price effect of sales)</t>
  </si>
  <si>
    <t>Fuel price change in 2021 (used for gas price effect of sales)</t>
  </si>
  <si>
    <t>Fuel price change in 2022 (used for gas price effect of sales)</t>
  </si>
  <si>
    <t>Number of vehicles sold is dependent on the vehicles sold in the previous year and the change in units sold</t>
  </si>
  <si>
    <t>Change in units sold</t>
  </si>
  <si>
    <t>Change in units sold is the sum of new charger location effect, charger location network effect, and gas price effect</t>
  </si>
  <si>
    <t>Gas price effect</t>
  </si>
  <si>
    <t>If the gas price goes up, sales go up by 10%. If the gas price stays the same, sales do not change. If the gas price goes down, sales go down by 5%.</t>
  </si>
  <si>
    <t>New charger location effect</t>
  </si>
  <si>
    <t>New charger locations in 2020</t>
  </si>
  <si>
    <t>New charger locations in 2021</t>
  </si>
  <si>
    <t>New charger locations in 2022</t>
  </si>
  <si>
    <t>Number of new charger locations in 2020 (used for charger location effects of sales)</t>
  </si>
  <si>
    <t>Number of new charger locations in 2021 (used for charger location effects of sales)</t>
  </si>
  <si>
    <t>Number of new charger locations in 2022 (used for charger location effects of sales)</t>
  </si>
  <si>
    <t>Basic calculations</t>
  </si>
  <si>
    <t>If the company introduces more than 99 new charger locations (&gt;=100) in the year, sales go up by 10% for marketing reasons</t>
  </si>
  <si>
    <t>If the company has overall more than 999 charger locations (&gt;=1000), sales go up by 10% for marketing reasons</t>
  </si>
  <si>
    <t>Charger location network effect</t>
  </si>
  <si>
    <t>Cost calculation</t>
  </si>
  <si>
    <t>Production cost</t>
  </si>
  <si>
    <t>Charger location costs</t>
  </si>
  <si>
    <t>Profit before taxes</t>
  </si>
  <si>
    <t>Profit</t>
  </si>
  <si>
    <t>Profit after taxes</t>
  </si>
  <si>
    <t>Costs</t>
  </si>
  <si>
    <t>Tax return can be claimed in years of loss (assume profit after taxes is always profit x tax rate, even if profit is negative)</t>
  </si>
  <si>
    <t xml:space="preserve">This workbook contains a solution for the electric car company case study.
- Sheet 1 "Input data" contains the input data for this case study
- Sheet 2 "Constants-assumptions" contains several constants and assumptions used for the analysis
- Sheet 3 "Calculations" contain the calculations
A synthesis and recommendations would be added later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</si>
</sst>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1"/>
    <xf numFmtId="0" fontId="2" fillId="0" borderId="0" xfId="0" applyFont="1"/>
    <xf numFmtId="0" fontId="3" fillId="0" borderId="0" xfId="0" applyFont="1"/>
    <xf numFmtId="9" fontId="0" fillId="0" borderId="0" xfId="0" applyNumberFormat="1"/>
    <xf numFmtId="44" fontId="0" fillId="0" borderId="0" xfId="2" applyFont="1"/>
    <xf numFmtId="0" fontId="5" fillId="0" borderId="0" xfId="3"/>
    <xf numFmtId="0" fontId="0" fillId="0" borderId="0" xfId="0" applyAlignment="1">
      <alignment horizontal="left" vertical="top" wrapText="1"/>
    </xf>
    <xf numFmtId="44" fontId="0" fillId="0" borderId="0" xfId="0" applyNumberFormat="1"/>
    <xf numFmtId="9" fontId="0" fillId="0" borderId="0" xfId="4" applyFont="1"/>
    <xf numFmtId="0" fontId="0" fillId="0" borderId="0" xfId="0" applyNumberFormat="1"/>
  </cellXfs>
  <cellStyles count="5">
    <cellStyle name="Currency" xfId="2" builtinId="4"/>
    <cellStyle name="Explanatory Text" xfId="3" builtinId="53"/>
    <cellStyle name="Heading 3" xfId="1" builtinId="18"/>
    <cellStyle name="Normal" xfId="0" builtinId="0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392111</xdr:colOff>
      <xdr:row>0</xdr:row>
      <xdr:rowOff>131762</xdr:rowOff>
    </xdr:from>
    <xdr:to>
      <xdr:col>9</xdr:col>
      <xdr:colOff>571498</xdr:colOff>
      <xdr:row>5</xdr:row>
      <xdr:rowOff>134937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700461" y="131762"/>
          <a:ext cx="2008187" cy="923925"/>
          <a:chOff x="4425" y="3748"/>
          <a:chExt cx="1335" cy="572"/>
        </a:xfrm>
      </xdr:grpSpPr>
      <xdr:pic>
        <xdr:nvPicPr>
          <xdr:cNvPr id="3" name="Picture 2" descr="Kästchen-weiss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4425" y="3748"/>
            <a:ext cx="1335" cy="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Logo-RGB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4613" y="3864"/>
            <a:ext cx="834" cy="2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showGridLines="0" zoomScaleNormal="100" workbookViewId="0">
      <selection activeCell="N7" sqref="N7"/>
    </sheetView>
  </sheetViews>
  <sheetFormatPr defaultRowHeight="14.5" x14ac:dyDescent="0.35"/>
  <cols>
    <col min="1" max="1" width="3.7265625" customWidth="1"/>
  </cols>
  <sheetData>
    <row r="2" spans="2:9" x14ac:dyDescent="0.35">
      <c r="B2" s="3"/>
    </row>
    <row r="3" spans="2:9" x14ac:dyDescent="0.35">
      <c r="B3" s="3" t="s">
        <v>0</v>
      </c>
    </row>
    <row r="7" spans="2:9" ht="42.75" customHeight="1" x14ac:dyDescent="0.35">
      <c r="B7" s="7" t="s">
        <v>57</v>
      </c>
      <c r="C7" s="7"/>
      <c r="D7" s="7"/>
      <c r="E7" s="7"/>
      <c r="F7" s="7"/>
      <c r="G7" s="7"/>
      <c r="H7" s="7"/>
      <c r="I7" s="7"/>
    </row>
    <row r="8" spans="2:9" x14ac:dyDescent="0.35">
      <c r="B8" s="7"/>
      <c r="C8" s="7"/>
      <c r="D8" s="7"/>
      <c r="E8" s="7"/>
      <c r="F8" s="7"/>
      <c r="G8" s="7"/>
      <c r="H8" s="7"/>
      <c r="I8" s="7"/>
    </row>
    <row r="9" spans="2:9" x14ac:dyDescent="0.35">
      <c r="B9" s="7"/>
      <c r="C9" s="7"/>
      <c r="D9" s="7"/>
      <c r="E9" s="7"/>
      <c r="F9" s="7"/>
      <c r="G9" s="7"/>
      <c r="H9" s="7"/>
      <c r="I9" s="7"/>
    </row>
    <row r="10" spans="2:9" x14ac:dyDescent="0.35">
      <c r="B10" s="7"/>
      <c r="C10" s="7"/>
      <c r="D10" s="7"/>
      <c r="E10" s="7"/>
      <c r="F10" s="7"/>
      <c r="G10" s="7"/>
      <c r="H10" s="7"/>
      <c r="I10" s="7"/>
    </row>
    <row r="11" spans="2:9" x14ac:dyDescent="0.35">
      <c r="B11" s="7"/>
      <c r="C11" s="7"/>
      <c r="D11" s="7"/>
      <c r="E11" s="7"/>
      <c r="F11" s="7"/>
      <c r="G11" s="7"/>
      <c r="H11" s="7"/>
      <c r="I11" s="7"/>
    </row>
    <row r="12" spans="2:9" x14ac:dyDescent="0.35">
      <c r="B12" s="7"/>
      <c r="C12" s="7"/>
      <c r="D12" s="7"/>
      <c r="E12" s="7"/>
      <c r="F12" s="7"/>
      <c r="G12" s="7"/>
      <c r="H12" s="7"/>
      <c r="I12" s="7"/>
    </row>
    <row r="13" spans="2:9" x14ac:dyDescent="0.35">
      <c r="B13" s="7"/>
      <c r="C13" s="7"/>
      <c r="D13" s="7"/>
      <c r="E13" s="7"/>
      <c r="F13" s="7"/>
      <c r="G13" s="7"/>
      <c r="H13" s="7"/>
      <c r="I13" s="7"/>
    </row>
    <row r="14" spans="2:9" x14ac:dyDescent="0.35">
      <c r="B14" s="7"/>
      <c r="C14" s="7"/>
      <c r="D14" s="7"/>
      <c r="E14" s="7"/>
      <c r="F14" s="7"/>
      <c r="G14" s="7"/>
      <c r="H14" s="7"/>
      <c r="I14" s="7"/>
    </row>
    <row r="15" spans="2:9" x14ac:dyDescent="0.35">
      <c r="B15" s="7"/>
      <c r="C15" s="7"/>
      <c r="D15" s="7"/>
      <c r="E15" s="7"/>
      <c r="F15" s="7"/>
      <c r="G15" s="7"/>
      <c r="H15" s="7"/>
      <c r="I15" s="7"/>
    </row>
  </sheetData>
  <mergeCells count="1">
    <mergeCell ref="B7:I1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/>
  </sheetViews>
  <sheetFormatPr defaultRowHeight="14.5" x14ac:dyDescent="0.35"/>
  <cols>
    <col min="1" max="1" width="3.54296875" customWidth="1"/>
    <col min="2" max="2" width="41.7265625" bestFit="1" customWidth="1"/>
    <col min="3" max="3" width="14.81640625" bestFit="1" customWidth="1"/>
    <col min="4" max="6" width="15.7265625" bestFit="1" customWidth="1"/>
  </cols>
  <sheetData>
    <row r="1" spans="1:6" x14ac:dyDescent="0.35">
      <c r="A1" s="2" t="s">
        <v>1</v>
      </c>
    </row>
    <row r="3" spans="1:6" ht="71.25" customHeight="1" thickBot="1" x14ac:dyDescent="0.4">
      <c r="B3" s="1" t="s">
        <v>9</v>
      </c>
      <c r="C3" s="1" t="s">
        <v>15</v>
      </c>
      <c r="D3" s="1">
        <v>2020</v>
      </c>
      <c r="E3" s="1">
        <v>2021</v>
      </c>
      <c r="F3" s="1">
        <v>2022</v>
      </c>
    </row>
    <row r="4" spans="1:6" x14ac:dyDescent="0.35">
      <c r="B4" t="s">
        <v>10</v>
      </c>
      <c r="D4" s="5">
        <v>10000000</v>
      </c>
      <c r="E4" s="5">
        <v>11000000</v>
      </c>
      <c r="F4" s="5">
        <v>12000000</v>
      </c>
    </row>
    <row r="5" spans="1:6" x14ac:dyDescent="0.35">
      <c r="B5" t="s">
        <v>11</v>
      </c>
      <c r="D5" s="5">
        <v>7500000</v>
      </c>
      <c r="E5" s="5">
        <v>5000000</v>
      </c>
      <c r="F5" s="5">
        <v>4000000</v>
      </c>
    </row>
    <row r="6" spans="1:6" x14ac:dyDescent="0.35">
      <c r="B6" t="s">
        <v>12</v>
      </c>
      <c r="C6" s="5"/>
      <c r="D6" s="5">
        <v>35000</v>
      </c>
      <c r="E6" s="5">
        <v>33500</v>
      </c>
      <c r="F6" s="5">
        <v>32000</v>
      </c>
    </row>
    <row r="7" spans="1:6" x14ac:dyDescent="0.35">
      <c r="B7" t="s">
        <v>14</v>
      </c>
      <c r="C7">
        <v>750</v>
      </c>
    </row>
    <row r="8" spans="1:6" x14ac:dyDescent="0.35">
      <c r="B8" t="s">
        <v>16</v>
      </c>
      <c r="C8">
        <v>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tabSelected="1" topLeftCell="B3" zoomScaleNormal="100" workbookViewId="0">
      <selection activeCell="G19" sqref="G19"/>
    </sheetView>
  </sheetViews>
  <sheetFormatPr defaultRowHeight="14.5" x14ac:dyDescent="0.35"/>
  <cols>
    <col min="1" max="1" width="3.54296875" customWidth="1"/>
    <col min="2" max="2" width="29" customWidth="1"/>
    <col min="3" max="3" width="41.7265625" bestFit="1" customWidth="1"/>
    <col min="4" max="6" width="16.7265625" bestFit="1" customWidth="1"/>
    <col min="7" max="7" width="57.453125" customWidth="1"/>
  </cols>
  <sheetData>
    <row r="1" spans="1:7" x14ac:dyDescent="0.35">
      <c r="A1" s="2" t="s">
        <v>17</v>
      </c>
      <c r="B1" s="2"/>
    </row>
    <row r="3" spans="1:7" ht="71.25" customHeight="1" thickBot="1" x14ac:dyDescent="0.4">
      <c r="B3" s="1" t="s">
        <v>18</v>
      </c>
      <c r="C3" s="1" t="s">
        <v>9</v>
      </c>
      <c r="D3" s="1">
        <v>2020</v>
      </c>
      <c r="E3" s="1">
        <v>2021</v>
      </c>
      <c r="F3" s="1">
        <v>2022</v>
      </c>
      <c r="G3" s="1" t="s">
        <v>22</v>
      </c>
    </row>
    <row r="4" spans="1:7" x14ac:dyDescent="0.35">
      <c r="B4" t="s">
        <v>45</v>
      </c>
      <c r="C4" t="s">
        <v>14</v>
      </c>
      <c r="D4">
        <f>'input data'!C7+'Constants-assumptions'!C10</f>
        <v>850</v>
      </c>
      <c r="E4">
        <f>D4+'Constants-assumptions'!C11</f>
        <v>930</v>
      </c>
      <c r="F4">
        <f>E4+'Constants-assumptions'!C12</f>
        <v>1005</v>
      </c>
      <c r="G4" s="6"/>
    </row>
    <row r="5" spans="1:7" x14ac:dyDescent="0.35">
      <c r="B5" t="s">
        <v>20</v>
      </c>
      <c r="C5" t="s">
        <v>13</v>
      </c>
      <c r="D5" s="8">
        <f>'Constants-assumptions'!$C$6</f>
        <v>43000</v>
      </c>
      <c r="E5" s="8">
        <f>'Constants-assumptions'!$C$6</f>
        <v>43000</v>
      </c>
      <c r="F5" s="8">
        <f>'Constants-assumptions'!$C$6</f>
        <v>43000</v>
      </c>
      <c r="G5" s="6" t="s">
        <v>23</v>
      </c>
    </row>
    <row r="6" spans="1:7" x14ac:dyDescent="0.35">
      <c r="C6" t="s">
        <v>36</v>
      </c>
      <c r="D6" s="4">
        <f>IF('Constants-assumptions'!C7="down",-5%,IF('Constants-assumptions'!C7="same",0%,10%))</f>
        <v>-0.05</v>
      </c>
      <c r="E6" s="4">
        <f>IF('Constants-assumptions'!C8="down",-5%,IF('Constants-assumptions'!C8="same",0%,10%))</f>
        <v>0</v>
      </c>
      <c r="F6" s="4">
        <f>IF('Constants-assumptions'!C9="down",-5%,IF('Constants-assumptions'!C9="same",0%,10%))</f>
        <v>0.1</v>
      </c>
      <c r="G6" s="6" t="s">
        <v>37</v>
      </c>
    </row>
    <row r="7" spans="1:7" x14ac:dyDescent="0.35">
      <c r="C7" t="s">
        <v>38</v>
      </c>
      <c r="D7" s="4">
        <f>IF('Constants-assumptions'!C10&gt;=100,10%,0%)</f>
        <v>0.1</v>
      </c>
      <c r="E7" s="9">
        <f>IF('Constants-assumptions'!C11&gt;=100,10%,0)</f>
        <v>0</v>
      </c>
      <c r="F7" s="9">
        <f>IF('Constants-assumptions'!C12&gt;=100,10%,0%)</f>
        <v>0</v>
      </c>
      <c r="G7" s="6" t="s">
        <v>46</v>
      </c>
    </row>
    <row r="8" spans="1:7" x14ac:dyDescent="0.35">
      <c r="C8" t="s">
        <v>48</v>
      </c>
      <c r="D8" s="9">
        <f>IF(D$4&gt;=1000,10%,0)</f>
        <v>0</v>
      </c>
      <c r="E8" s="9">
        <f t="shared" ref="E8:F8" si="0">IF(E$4&gt;=1000,10%,0)</f>
        <v>0</v>
      </c>
      <c r="F8" s="9">
        <f t="shared" si="0"/>
        <v>0.1</v>
      </c>
      <c r="G8" s="6" t="s">
        <v>47</v>
      </c>
    </row>
    <row r="9" spans="1:7" x14ac:dyDescent="0.35">
      <c r="C9" t="s">
        <v>34</v>
      </c>
      <c r="D9" s="4">
        <f>SUM(D$6:D$8)</f>
        <v>0.05</v>
      </c>
      <c r="E9" s="4">
        <f t="shared" ref="E9:F9" si="1">SUM(E$6:E$8)</f>
        <v>0</v>
      </c>
      <c r="F9" s="4">
        <f t="shared" si="1"/>
        <v>0.2</v>
      </c>
      <c r="G9" s="6" t="s">
        <v>35</v>
      </c>
    </row>
    <row r="10" spans="1:7" x14ac:dyDescent="0.35">
      <c r="C10" t="s">
        <v>21</v>
      </c>
      <c r="D10" s="10">
        <f>'input data'!C8*(1+Calculations!D$9)</f>
        <v>5250</v>
      </c>
      <c r="E10" s="10">
        <f>D$10*(1+E$9)</f>
      </c>
      <c r="F10" s="10">
        <f>E$10*(1+F$9)</f>
      </c>
      <c r="G10" s="6" t="s">
        <v>33</v>
      </c>
    </row>
    <row r="11" spans="1:7" x14ac:dyDescent="0.35">
      <c r="C11" t="s">
        <v>19</v>
      </c>
      <c r="D11" s="8">
        <f>D$10*D$5</f>
        <v>225750000</v>
      </c>
      <c r="E11" s="8">
        <f t="shared" ref="E11:F11" si="2">E$10*E$5</f>
        <v>225750000</v>
      </c>
      <c r="F11" s="8">
        <f t="shared" si="2"/>
        <v>270900000</v>
      </c>
      <c r="G11" s="6"/>
    </row>
    <row r="12" spans="1:7" x14ac:dyDescent="0.35">
      <c r="B12" t="s">
        <v>49</v>
      </c>
      <c r="C12" t="s">
        <v>10</v>
      </c>
      <c r="D12" s="8">
        <f>'input data'!D4</f>
        <v>10000000</v>
      </c>
      <c r="E12" s="8">
        <f>'input data'!E4</f>
        <v>11000000</v>
      </c>
      <c r="F12" s="8">
        <f>'input data'!F4</f>
        <v>12000000</v>
      </c>
      <c r="G12" s="6"/>
    </row>
    <row r="13" spans="1:7" x14ac:dyDescent="0.35">
      <c r="C13" t="s">
        <v>11</v>
      </c>
      <c r="D13" s="8">
        <f>'input data'!D5</f>
        <v>7500000</v>
      </c>
      <c r="E13" s="8">
        <f>'input data'!E5</f>
        <v>5000000</v>
      </c>
      <c r="F13" s="8">
        <f>'input data'!F5</f>
        <v>4000000</v>
      </c>
      <c r="G13" s="6"/>
    </row>
    <row r="14" spans="1:7" x14ac:dyDescent="0.35">
      <c r="C14" t="s">
        <v>50</v>
      </c>
      <c r="D14" s="8">
        <f>D$10*'input data'!D$6</f>
        <v>183750000</v>
      </c>
      <c r="E14" s="8">
        <f>E$10*'input data'!E$6</f>
        <v>175875000</v>
      </c>
      <c r="F14" s="8">
        <f>F$10*'input data'!F$6</f>
        <v>201600000</v>
      </c>
    </row>
    <row r="15" spans="1:7" x14ac:dyDescent="0.35">
      <c r="C15" t="s">
        <v>51</v>
      </c>
      <c r="D15" s="8">
        <f>D$4*'Constants-assumptions'!$C$5</f>
        <v>35700000</v>
      </c>
      <c r="E15" s="8">
        <f>E$4*'Constants-assumptions'!$C$5</f>
        <v>39060000</v>
      </c>
      <c r="F15" s="8">
        <f>F$4*'Constants-assumptions'!$C$5</f>
        <v>42210000</v>
      </c>
    </row>
    <row r="16" spans="1:7" x14ac:dyDescent="0.35">
      <c r="C16" t="s">
        <v>55</v>
      </c>
      <c r="D16" s="8">
        <f>SUM(D$12:D$15)</f>
        <v>236950000</v>
      </c>
      <c r="E16" s="8">
        <f t="shared" ref="E16:F16" si="3">SUM(E$12:E$15)</f>
        <v>230935000</v>
      </c>
      <c r="F16" s="8">
        <f t="shared" si="3"/>
        <v>259810000</v>
      </c>
    </row>
    <row r="17" spans="2:7" x14ac:dyDescent="0.35">
      <c r="B17" t="s">
        <v>53</v>
      </c>
      <c r="C17" t="s">
        <v>52</v>
      </c>
      <c r="D17" s="8">
        <f>D$11-D$16</f>
        <v>-11200000</v>
      </c>
      <c r="E17" s="8">
        <f t="shared" ref="E17:F17" si="4">E$11-E$16</f>
        <v>-5185000</v>
      </c>
      <c r="F17" s="8">
        <f t="shared" si="4"/>
        <v>11090000</v>
      </c>
    </row>
    <row r="18" spans="2:7" x14ac:dyDescent="0.35">
      <c r="C18" t="s">
        <v>54</v>
      </c>
      <c r="D18" s="8">
        <f>D$17*(1-'Constants-assumptions'!$C$4)</f>
        <v>-8960000</v>
      </c>
      <c r="E18" s="8">
        <f>E$17*(1-'Constants-assumptions'!$C$4)</f>
        <v>-4148000</v>
      </c>
      <c r="F18" s="8">
        <f>F$17*(1-'Constants-assumptions'!$C$4)</f>
        <v>8872000</v>
      </c>
      <c r="G18" s="6" t="s">
        <v>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opLeftCell="A2" zoomScaleNormal="100" workbookViewId="0"/>
  </sheetViews>
  <sheetFormatPr defaultRowHeight="14.5" x14ac:dyDescent="0.35"/>
  <cols>
    <col min="1" max="1" width="3.54296875" customWidth="1"/>
    <col min="2" max="2" width="32.7265625" bestFit="1" customWidth="1"/>
    <col min="3" max="3" width="13.1796875" bestFit="1" customWidth="1"/>
    <col min="4" max="4" width="54" bestFit="1" customWidth="1"/>
  </cols>
  <sheetData>
    <row r="1" spans="1:4" x14ac:dyDescent="0.35">
      <c r="A1" s="2" t="s">
        <v>4</v>
      </c>
    </row>
    <row r="3" spans="1:4" ht="71.25" customHeight="1" thickBot="1" x14ac:dyDescent="0.4">
      <c r="B3" s="1" t="s">
        <v>2</v>
      </c>
      <c r="C3" s="1" t="s">
        <v>3</v>
      </c>
      <c r="D3" s="1" t="s">
        <v>7</v>
      </c>
    </row>
    <row r="4" spans="1:4" x14ac:dyDescent="0.35">
      <c r="B4" t="s">
        <v>5</v>
      </c>
      <c r="C4" s="4">
        <v>0.2</v>
      </c>
    </row>
    <row r="5" spans="1:4" x14ac:dyDescent="0.35">
      <c r="B5" t="s">
        <v>6</v>
      </c>
      <c r="C5" s="5">
        <v>42000</v>
      </c>
      <c r="D5" s="6" t="s">
        <v>8</v>
      </c>
    </row>
    <row r="6" spans="1:4" x14ac:dyDescent="0.35">
      <c r="B6" t="s">
        <v>13</v>
      </c>
      <c r="C6" s="5">
        <v>43000</v>
      </c>
    </row>
    <row r="7" spans="1:4" x14ac:dyDescent="0.35">
      <c r="B7" t="s">
        <v>24</v>
      </c>
      <c r="C7" t="s">
        <v>25</v>
      </c>
      <c r="D7" s="6" t="s">
        <v>30</v>
      </c>
    </row>
    <row r="8" spans="1:4" x14ac:dyDescent="0.35">
      <c r="B8" t="s">
        <v>26</v>
      </c>
      <c r="C8" t="s">
        <v>28</v>
      </c>
      <c r="D8" s="6" t="s">
        <v>31</v>
      </c>
    </row>
    <row r="9" spans="1:4" x14ac:dyDescent="0.35">
      <c r="B9" t="s">
        <v>27</v>
      </c>
      <c r="C9" t="s">
        <v>29</v>
      </c>
      <c r="D9" s="6" t="s">
        <v>32</v>
      </c>
    </row>
    <row r="10" spans="1:4" x14ac:dyDescent="0.35">
      <c r="B10" t="s">
        <v>39</v>
      </c>
      <c r="C10">
        <v>100</v>
      </c>
      <c r="D10" s="6" t="s">
        <v>42</v>
      </c>
    </row>
    <row r="11" spans="1:4" x14ac:dyDescent="0.35">
      <c r="B11" t="s">
        <v>40</v>
      </c>
      <c r="C11">
        <v>80</v>
      </c>
      <c r="D11" s="6" t="s">
        <v>43</v>
      </c>
    </row>
    <row r="12" spans="1:4" x14ac:dyDescent="0.35">
      <c r="B12" t="s">
        <v>41</v>
      </c>
      <c r="C12">
        <v>75</v>
      </c>
      <c r="D12" s="6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input data</vt:lpstr>
      <vt:lpstr>Calculations</vt:lpstr>
      <vt:lpstr>Constants-assumptions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Plattfaut</dc:creator>
  <cp:lastModifiedBy>Imam Hossain</cp:lastModifiedBy>
  <dcterms:created xsi:type="dcterms:W3CDTF">2019-04-15T09:13:20Z</dcterms:created>
  <dcterms:modified xsi:type="dcterms:W3CDTF">2026-05-17T14:45:59Z</dcterms:modified>
</cp:coreProperties>
</file>