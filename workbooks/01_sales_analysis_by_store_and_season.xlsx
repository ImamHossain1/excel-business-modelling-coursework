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dima\Downloads\"/>
    </mc:Choice>
  </mc:AlternateContent>
  <xr:revisionPtr revIDLastSave="0" documentId="13_ncr:1_{24EDCE83-5B31-4EA3-B654-F6C303AF8945}" xr6:coauthVersionLast="47" xr6:coauthVersionMax="47" xr10:uidLastSave="{00000000-0000-0000-0000-000000000000}"/>
  <bookViews>
    <workbookView xWindow="-110" yWindow="-110" windowWidth="19420" windowHeight="11500" firstSheet="3" activeTab="4" xr2:uid="{00000000-000D-0000-FFFF-FFFF00000000}"/>
  </bookViews>
  <sheets>
    <sheet name="Cover Sheet" sheetId="4" r:id="rId1"/>
    <sheet name="Sales data" sheetId="1" r:id="rId2"/>
    <sheet name="Sales data - transf.+validated" sheetId="6" r:id="rId3"/>
    <sheet name="results" sheetId="7" r:id="rId4"/>
    <sheet name="result II" sheetId="8" r:id="rId5"/>
    <sheet name="Additional data" sheetId="9" r:id="rId6"/>
  </sheets>
  <definedNames>
    <definedName name="_xlnm._FilterDatabase" localSheetId="2" hidden="1">'Sales data - transf.+validated'!$B$4:$I$35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<sst xmlns="http://schemas.openxmlformats.org/spreadsheetml/2006/main" count="333" uniqueCount="63">
  <si>
    <t>This sheet contains the data we obtained from our friend</t>
  </si>
  <si>
    <t>Sales data October to December 2018</t>
  </si>
  <si>
    <t>Soest</t>
  </si>
  <si>
    <t>Category</t>
  </si>
  <si>
    <t>Item</t>
  </si>
  <si>
    <t>Items sold</t>
  </si>
  <si>
    <t>Price</t>
  </si>
  <si>
    <t>Reduced price?</t>
  </si>
  <si>
    <t>Winter</t>
  </si>
  <si>
    <t>Ski</t>
  </si>
  <si>
    <t>Salomon Ski</t>
  </si>
  <si>
    <t>No</t>
  </si>
  <si>
    <t>Yes</t>
  </si>
  <si>
    <t>Head Ski</t>
  </si>
  <si>
    <t>Atomic Ski</t>
  </si>
  <si>
    <t>Bindings</t>
  </si>
  <si>
    <t>Salomon Binding</t>
  </si>
  <si>
    <t>Head Bindings</t>
  </si>
  <si>
    <t>Boots</t>
  </si>
  <si>
    <t>Lange Boots</t>
  </si>
  <si>
    <t>Head Boots</t>
  </si>
  <si>
    <t>Summer</t>
  </si>
  <si>
    <t>Bikes</t>
  </si>
  <si>
    <t>Giant</t>
  </si>
  <si>
    <t>Yeti</t>
  </si>
  <si>
    <t>GT Bicycles</t>
  </si>
  <si>
    <t>Cannondale</t>
  </si>
  <si>
    <t>Winterberg</t>
  </si>
  <si>
    <t>Hamm</t>
  </si>
  <si>
    <t>Stöckli Ski</t>
  </si>
  <si>
    <t>Original price</t>
  </si>
  <si>
    <t>Reduced price</t>
  </si>
  <si>
    <t>Location</t>
  </si>
  <si>
    <t>Season</t>
  </si>
  <si>
    <t>Items sold at original price</t>
  </si>
  <si>
    <t>Items sold at reduced price</t>
  </si>
  <si>
    <t>This sheet contains the transformed sales data in database format, including data validation</t>
  </si>
  <si>
    <t>Sales data - Transformed data</t>
  </si>
  <si>
    <t>This workbook contains the intermediate solution for the Sales data exercise.
Sheet 1 "Sales data" contains the data we obtained from our friend.
Sheet 2 "Sales data - transf.+validated" contains the transformed sales data.</t>
  </si>
  <si>
    <t>Reevenue</t>
  </si>
  <si>
    <t>original</t>
  </si>
  <si>
    <t>reduced</t>
  </si>
  <si>
    <t>Total items</t>
  </si>
  <si>
    <t>winter</t>
  </si>
  <si>
    <t>Total sales in original price</t>
  </si>
  <si>
    <t>Total sales in reduced price</t>
  </si>
  <si>
    <t xml:space="preserve">Total sales </t>
  </si>
  <si>
    <t>Price Reduction</t>
  </si>
  <si>
    <t>Total revenue</t>
  </si>
  <si>
    <t>Original price revenue</t>
  </si>
  <si>
    <t>Reduced price revenue</t>
  </si>
  <si>
    <t>All locations</t>
  </si>
  <si>
    <t>All season</t>
  </si>
  <si>
    <t>Locations</t>
  </si>
  <si>
    <t>Total items offered</t>
  </si>
  <si>
    <t>Total costs</t>
  </si>
  <si>
    <t>Total contribution margin</t>
  </si>
  <si>
    <t>This sheet contains additional data</t>
  </si>
  <si>
    <t>Cost data October to December 2018</t>
  </si>
  <si>
    <t>Store size</t>
  </si>
  <si>
    <t>Costs</t>
  </si>
  <si>
    <r>
      <t xml:space="preserve">Size </t>
    </r>
    <r>
      <rPr>
        <b/>
        <i/>
        <sz val="11"/>
        <color theme="3"/>
        <rFont val="Calibri"/>
        <family val="2"/>
        <scheme val="minor"/>
      </rPr>
      <t>in m²</t>
    </r>
  </si>
  <si>
    <t>Total contribution margin per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</si>
</sst>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#,##0.00\ &quot;€&quot;"/>
    <numFmt numFmtId="165" formatCode="#,##0.0_ ;\-#,##0.0\ "/>
  </numFmts>
  <fonts count="9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i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/>
      </top>
      <bottom style="medium">
        <color theme="4" tint="0.39997558519241921"/>
      </bottom>
      <diagonal/>
    </border>
    <border>
      <left style="thin">
        <color theme="1" tint="0.34998626667073579"/>
      </left>
      <right style="thin">
        <color theme="1" tint="0.14996795556505021"/>
      </right>
      <top style="thin">
        <color theme="1" tint="0.34998626667073579"/>
      </top>
      <bottom style="thin">
        <color theme="1" tint="0.14996795556505021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34998626667073579"/>
      </top>
      <bottom style="thin">
        <color theme="1" tint="0.14996795556505021"/>
      </bottom>
      <diagonal/>
    </border>
    <border>
      <left style="thin">
        <color theme="1" tint="0.14996795556505021"/>
      </left>
      <right style="thin">
        <color theme="1" tint="0.34998626667073579"/>
      </right>
      <top style="thin">
        <color theme="1" tint="0.34998626667073579"/>
      </top>
      <bottom style="thin">
        <color theme="1" tint="0.14996795556505021"/>
      </bottom>
      <diagonal/>
    </border>
    <border>
      <left style="thin">
        <color theme="1" tint="0.34998626667073579"/>
      </left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7">
    <xf numFmtId="0" fontId="0" fillId="0" borderId="0"/>
    <xf numFmtId="0" fontId="1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" fillId="0" borderId="0" applyNumberFormat="0" applyFill="0" applyBorder="0" applyAlignment="0" applyProtection="0"/>
    <xf numFmtId="44" fontId="6" fillId="0" borderId="0" applyFont="0" applyFill="0" applyBorder="0" applyAlignment="0" applyProtection="0"/>
    <xf numFmtId="0" fontId="7" fillId="2" borderId="9" applyNumberFormat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4"/>
    <xf numFmtId="0" fontId="4" fillId="0" borderId="2" xfId="2" applyAlignment="1"/>
    <xf numFmtId="0" fontId="1" fillId="0" borderId="1" xfId="1"/>
    <xf numFmtId="44" fontId="0" fillId="0" borderId="0" xfId="5" applyFont="1"/>
    <xf numFmtId="0" fontId="4" fillId="0" borderId="2" xfId="2"/>
    <xf numFmtId="6" fontId="0" fillId="0" borderId="0" xfId="0" applyNumberFormat="1"/>
    <xf numFmtId="44" fontId="0" fillId="0" borderId="0" xfId="0" applyNumberFormat="1"/>
    <xf numFmtId="9" fontId="0" fillId="0" borderId="0" xfId="0" applyNumberFormat="1"/>
    <xf numFmtId="0" fontId="1" fillId="0" borderId="4" xfId="1" applyBorder="1"/>
    <xf numFmtId="44" fontId="0" fillId="0" borderId="7" xfId="0" applyNumberFormat="1" applyBorder="1"/>
    <xf numFmtId="44" fontId="0" fillId="0" borderId="5" xfId="0" applyNumberFormat="1" applyBorder="1"/>
    <xf numFmtId="164" fontId="0" fillId="0" borderId="8" xfId="0" applyNumberFormat="1" applyBorder="1"/>
    <xf numFmtId="0" fontId="7" fillId="2" borderId="9" xfId="6"/>
    <xf numFmtId="0" fontId="0" fillId="0" borderId="0" xfId="0" applyAlignment="1">
      <alignment horizontal="left" vertical="top" wrapText="1"/>
    </xf>
    <xf numFmtId="0" fontId="1" fillId="0" borderId="1" xfId="1" applyAlignment="1">
      <alignment horizontal="left"/>
    </xf>
    <xf numFmtId="0" fontId="4" fillId="0" borderId="2" xfId="2" applyAlignment="1">
      <alignment horizontal="left"/>
    </xf>
    <xf numFmtId="0" fontId="5" fillId="0" borderId="3" xfId="3" applyAlignment="1">
      <alignment horizontal="left"/>
    </xf>
    <xf numFmtId="165" fontId="0" fillId="0" borderId="0" xfId="5" applyNumberFormat="1" applyFont="1"/>
    <xf numFmtId="164" fontId="0" fillId="0" borderId="6" xfId="0" applyNumberFormat="1" applyBorder="1"/>
  </cellXfs>
  <cellStyles count="7">
    <cellStyle name="Currency" xfId="5" builtinId="4"/>
    <cellStyle name="Heading 1" xfId="2" builtinId="16"/>
    <cellStyle name="Heading 2" xfId="3" builtinId="17"/>
    <cellStyle name="Heading 3" xfId="1" builtinId="18"/>
    <cellStyle name="Heading 4" xfId="4" builtinId="19"/>
    <cellStyle name="Normal" xfId="0" builtinId="0"/>
    <cellStyle name="Output" xfId="6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392111</xdr:colOff>
      <xdr:row>0</xdr:row>
      <xdr:rowOff>131762</xdr:rowOff>
    </xdr:from>
    <xdr:to>
      <xdr:col>9</xdr:col>
      <xdr:colOff>571498</xdr:colOff>
      <xdr:row>5</xdr:row>
      <xdr:rowOff>134937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3700461" y="131762"/>
          <a:ext cx="2008187" cy="923925"/>
          <a:chOff x="4425" y="3748"/>
          <a:chExt cx="1335" cy="572"/>
        </a:xfrm>
      </xdr:grpSpPr>
      <xdr:pic>
        <xdr:nvPicPr>
          <xdr:cNvPr id="3" name="Picture 2" descr="Kästchen-weiss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4425" y="3748"/>
            <a:ext cx="1335" cy="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3" descr="Logo-RGB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4613" y="3864"/>
            <a:ext cx="834" cy="2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E9272F-2B02-4DA2-A07E-5CAC27D1B134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1fa80ae5-07db-4bc9-b198-85e5ad2da54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"/>
  <sheetViews>
    <sheetView showGridLines="0" zoomScaleNormal="100" workbookViewId="0">
      <selection activeCell="B3" sqref="B3"/>
    </sheetView>
  </sheetViews>
  <sheetFormatPr defaultRowHeight="14.5" x14ac:dyDescent="0.35"/>
  <cols>
    <col min="1" max="1" width="3.7265625" customWidth="1"/>
  </cols>
  <sheetData>
    <row r="2" spans="2:9" x14ac:dyDescent="0.35">
      <c r="B2" s="2"/>
    </row>
    <row r="3" spans="2:9" x14ac:dyDescent="0.35">
      <c r="B3" s="2" t="s">
        <v>37</v>
      </c>
    </row>
    <row r="7" spans="2:9" ht="42.75" customHeight="1" x14ac:dyDescent="0.35">
      <c r="B7" s="16" t="s">
        <v>38</v>
      </c>
      <c r="C7" s="16"/>
      <c r="D7" s="16"/>
      <c r="E7" s="16"/>
      <c r="F7" s="16"/>
      <c r="G7" s="16"/>
      <c r="H7" s="16"/>
      <c r="I7" s="16"/>
    </row>
    <row r="8" spans="2:9" x14ac:dyDescent="0.35">
      <c r="B8" s="16"/>
      <c r="C8" s="16"/>
      <c r="D8" s="16"/>
      <c r="E8" s="16"/>
      <c r="F8" s="16"/>
      <c r="G8" s="16"/>
      <c r="H8" s="16"/>
      <c r="I8" s="16"/>
    </row>
    <row r="9" spans="2:9" x14ac:dyDescent="0.35">
      <c r="B9" s="16"/>
      <c r="C9" s="16"/>
      <c r="D9" s="16"/>
      <c r="E9" s="16"/>
      <c r="F9" s="16"/>
      <c r="G9" s="16"/>
      <c r="H9" s="16"/>
      <c r="I9" s="16"/>
    </row>
    <row r="10" spans="2:9" x14ac:dyDescent="0.35">
      <c r="B10" s="16"/>
      <c r="C10" s="16"/>
      <c r="D10" s="16"/>
      <c r="E10" s="16"/>
      <c r="F10" s="16"/>
      <c r="G10" s="16"/>
      <c r="H10" s="16"/>
      <c r="I10" s="16"/>
    </row>
    <row r="11" spans="2:9" x14ac:dyDescent="0.35">
      <c r="B11" s="16"/>
      <c r="C11" s="16"/>
      <c r="D11" s="16"/>
      <c r="E11" s="16"/>
      <c r="F11" s="16"/>
      <c r="G11" s="16"/>
      <c r="H11" s="16"/>
      <c r="I11" s="16"/>
    </row>
    <row r="12" spans="2:9" x14ac:dyDescent="0.35">
      <c r="B12" s="16"/>
      <c r="C12" s="16"/>
      <c r="D12" s="16"/>
      <c r="E12" s="16"/>
      <c r="F12" s="16"/>
      <c r="G12" s="16"/>
      <c r="H12" s="16"/>
      <c r="I12" s="16"/>
    </row>
    <row r="13" spans="2:9" x14ac:dyDescent="0.35">
      <c r="B13" s="16"/>
      <c r="C13" s="16"/>
      <c r="D13" s="16"/>
      <c r="E13" s="16"/>
      <c r="F13" s="16"/>
      <c r="G13" s="16"/>
      <c r="H13" s="16"/>
      <c r="I13" s="16"/>
    </row>
    <row r="14" spans="2:9" x14ac:dyDescent="0.35">
      <c r="B14" s="16"/>
      <c r="C14" s="16"/>
      <c r="D14" s="16"/>
      <c r="E14" s="16"/>
      <c r="F14" s="16"/>
      <c r="G14" s="16"/>
      <c r="H14" s="16"/>
      <c r="I14" s="16"/>
    </row>
    <row r="15" spans="2:9" x14ac:dyDescent="0.35">
      <c r="B15" s="16"/>
      <c r="C15" s="16"/>
      <c r="D15" s="16"/>
      <c r="E15" s="16"/>
      <c r="F15" s="16"/>
      <c r="G15" s="16"/>
      <c r="H15" s="16"/>
      <c r="I15" s="16"/>
    </row>
  </sheetData>
  <mergeCells count="1">
    <mergeCell ref="B7:I15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workbookViewId="0">
      <selection activeCell="D23" sqref="D23"/>
    </sheetView>
  </sheetViews>
  <sheetFormatPr defaultRowHeight="14.5" x14ac:dyDescent="0.35"/>
  <cols>
    <col min="1" max="1" width="3.6328125" customWidth="1"/>
    <col min="2" max="2" width="25" bestFit="1" customWidth="1"/>
    <col min="3" max="3" width="12.08984375" customWidth="1"/>
    <col min="4" max="4" width="14.1796875" customWidth="1"/>
    <col min="5" max="5" width="13.1796875" customWidth="1"/>
    <col min="6" max="6" width="10.08984375" customWidth="1"/>
  </cols>
  <sheetData>
    <row r="1" spans="1:6" x14ac:dyDescent="0.35">
      <c r="A1" s="1" t="s">
        <v>0</v>
      </c>
    </row>
    <row r="3" spans="1:6" ht="20" thickBot="1" x14ac:dyDescent="0.5">
      <c r="B3" s="18" t="s">
        <v>1</v>
      </c>
      <c r="C3" s="18"/>
      <c r="D3" s="18"/>
      <c r="E3" s="18"/>
      <c r="F3" s="18"/>
    </row>
    <row r="4" spans="1:6" ht="18" thickTop="1" thickBot="1" x14ac:dyDescent="0.45">
      <c r="B4" s="19" t="s">
        <v>2</v>
      </c>
      <c r="C4" s="19"/>
      <c r="D4" s="19"/>
      <c r="E4" s="19"/>
      <c r="F4" s="19"/>
    </row>
    <row r="5" spans="1:6" ht="15.5" thickTop="1" thickBot="1" x14ac:dyDescent="0.4">
      <c r="B5" s="17" t="s">
        <v>8</v>
      </c>
      <c r="C5" s="17"/>
      <c r="D5" s="17"/>
      <c r="E5" s="17"/>
      <c r="F5" s="17"/>
    </row>
    <row r="6" spans="1:6" x14ac:dyDescent="0.35">
      <c r="B6" s="3" t="s">
        <v>3</v>
      </c>
      <c r="C6" s="3" t="s">
        <v>4</v>
      </c>
      <c r="D6" s="3" t="s">
        <v>7</v>
      </c>
      <c r="E6" s="3" t="s">
        <v>5</v>
      </c>
      <c r="F6" s="3" t="s">
        <v>6</v>
      </c>
    </row>
    <row r="7" spans="1:6" x14ac:dyDescent="0.35">
      <c r="B7" t="s">
        <v>9</v>
      </c>
      <c r="C7" t="s">
        <v>10</v>
      </c>
      <c r="D7" t="s">
        <v>11</v>
      </c>
      <c r="E7">
        <v>56</v>
      </c>
      <c r="F7">
        <v>499.99</v>
      </c>
    </row>
    <row r="8" spans="1:6" x14ac:dyDescent="0.35">
      <c r="D8" t="s">
        <v>12</v>
      </c>
      <c r="E8">
        <v>12</v>
      </c>
      <c r="F8">
        <v>399.99</v>
      </c>
    </row>
    <row r="9" spans="1:6" x14ac:dyDescent="0.35">
      <c r="C9" t="s">
        <v>13</v>
      </c>
      <c r="D9" t="s">
        <v>11</v>
      </c>
      <c r="E9">
        <v>32</v>
      </c>
      <c r="F9">
        <v>449.99</v>
      </c>
    </row>
    <row r="10" spans="1:6" x14ac:dyDescent="0.35">
      <c r="D10" t="s">
        <v>12</v>
      </c>
      <c r="E10">
        <v>24</v>
      </c>
      <c r="F10">
        <v>399.99</v>
      </c>
    </row>
    <row r="11" spans="1:6" x14ac:dyDescent="0.35">
      <c r="C11" t="s">
        <v>14</v>
      </c>
      <c r="D11" t="s">
        <v>11</v>
      </c>
      <c r="E11">
        <v>36</v>
      </c>
      <c r="F11">
        <v>474.99</v>
      </c>
    </row>
    <row r="12" spans="1:6" x14ac:dyDescent="0.35">
      <c r="D12" t="s">
        <v>12</v>
      </c>
      <c r="E12">
        <v>2</v>
      </c>
      <c r="F12">
        <v>449.99</v>
      </c>
    </row>
    <row r="13" spans="1:6" x14ac:dyDescent="0.35">
      <c r="B13" t="s">
        <v>15</v>
      </c>
      <c r="C13" t="s">
        <v>16</v>
      </c>
      <c r="D13" t="s">
        <v>11</v>
      </c>
      <c r="E13">
        <v>60</v>
      </c>
      <c r="F13">
        <v>99.99</v>
      </c>
    </row>
    <row r="14" spans="1:6" x14ac:dyDescent="0.35">
      <c r="C14" t="s">
        <v>17</v>
      </c>
      <c r="D14" t="s">
        <v>11</v>
      </c>
      <c r="E14">
        <v>40</v>
      </c>
      <c r="F14">
        <v>99.99</v>
      </c>
    </row>
    <row r="15" spans="1:6" x14ac:dyDescent="0.35">
      <c r="D15" t="s">
        <v>12</v>
      </c>
      <c r="E15">
        <v>17</v>
      </c>
      <c r="F15">
        <v>79.989999999999995</v>
      </c>
    </row>
    <row r="16" spans="1:6" x14ac:dyDescent="0.35">
      <c r="B16" t="s">
        <v>18</v>
      </c>
      <c r="C16" t="s">
        <v>19</v>
      </c>
      <c r="D16" t="s">
        <v>11</v>
      </c>
      <c r="E16">
        <v>33</v>
      </c>
      <c r="F16">
        <v>299.99</v>
      </c>
    </row>
    <row r="17" spans="2:6" x14ac:dyDescent="0.35">
      <c r="C17" t="s">
        <v>20</v>
      </c>
      <c r="D17" t="s">
        <v>11</v>
      </c>
      <c r="E17">
        <v>24</v>
      </c>
      <c r="F17">
        <v>249.99</v>
      </c>
    </row>
    <row r="18" spans="2:6" x14ac:dyDescent="0.35">
      <c r="D18" t="s">
        <v>12</v>
      </c>
      <c r="E18">
        <v>8</v>
      </c>
      <c r="F18">
        <v>199.99</v>
      </c>
    </row>
    <row r="19" spans="2:6" ht="15" thickBot="1" x14ac:dyDescent="0.4">
      <c r="B19" s="17" t="s">
        <v>21</v>
      </c>
      <c r="C19" s="17"/>
      <c r="D19" s="17"/>
      <c r="E19" s="17"/>
      <c r="F19" s="17"/>
    </row>
    <row r="20" spans="2:6" x14ac:dyDescent="0.35">
      <c r="B20" t="s">
        <v>22</v>
      </c>
      <c r="C20" t="s">
        <v>23</v>
      </c>
      <c r="D20" t="s">
        <v>11</v>
      </c>
      <c r="E20">
        <v>24</v>
      </c>
      <c r="F20">
        <v>699.99</v>
      </c>
    </row>
    <row r="21" spans="2:6" x14ac:dyDescent="0.35">
      <c r="D21" t="s">
        <v>12</v>
      </c>
      <c r="E21">
        <v>24</v>
      </c>
      <c r="F21">
        <v>599.99</v>
      </c>
    </row>
    <row r="22" spans="2:6" x14ac:dyDescent="0.35">
      <c r="C22" t="s">
        <v>24</v>
      </c>
      <c r="D22" t="s">
        <v>11</v>
      </c>
      <c r="E22">
        <v>12</v>
      </c>
      <c r="F22">
        <v>899.99</v>
      </c>
    </row>
    <row r="23" spans="2:6" x14ac:dyDescent="0.35">
      <c r="D23" t="s">
        <v>12</v>
      </c>
      <c r="E23">
        <v>2</v>
      </c>
      <c r="F23">
        <v>799.99</v>
      </c>
    </row>
    <row r="24" spans="2:6" x14ac:dyDescent="0.35">
      <c r="C24" t="s">
        <v>25</v>
      </c>
      <c r="D24" t="s">
        <v>11</v>
      </c>
      <c r="E24">
        <v>28</v>
      </c>
      <c r="F24">
        <v>599.99</v>
      </c>
    </row>
    <row r="25" spans="2:6" x14ac:dyDescent="0.35">
      <c r="D25" t="s">
        <v>12</v>
      </c>
      <c r="E25">
        <v>14</v>
      </c>
      <c r="F25">
        <v>499.99</v>
      </c>
    </row>
    <row r="26" spans="2:6" x14ac:dyDescent="0.35">
      <c r="C26" t="s">
        <v>26</v>
      </c>
      <c r="D26" t="s">
        <v>11</v>
      </c>
      <c r="E26">
        <v>4</v>
      </c>
      <c r="F26">
        <v>3999.99</v>
      </c>
    </row>
    <row r="27" spans="2:6" x14ac:dyDescent="0.35">
      <c r="D27" t="s">
        <v>12</v>
      </c>
      <c r="E27">
        <v>1</v>
      </c>
      <c r="F27">
        <v>3799.99</v>
      </c>
    </row>
    <row r="29" spans="2:6" ht="17.5" thickBot="1" x14ac:dyDescent="0.45">
      <c r="B29" s="19" t="s">
        <v>27</v>
      </c>
      <c r="C29" s="19"/>
      <c r="D29" s="19"/>
      <c r="E29" s="19"/>
      <c r="F29" s="19"/>
    </row>
    <row r="30" spans="2:6" ht="15.5" thickTop="1" thickBot="1" x14ac:dyDescent="0.4">
      <c r="B30" s="17" t="s">
        <v>8</v>
      </c>
      <c r="C30" s="17"/>
      <c r="D30" s="17"/>
      <c r="E30" s="17"/>
      <c r="F30" s="17"/>
    </row>
    <row r="31" spans="2:6" x14ac:dyDescent="0.35">
      <c r="B31" s="3" t="s">
        <v>3</v>
      </c>
      <c r="C31" s="3" t="s">
        <v>4</v>
      </c>
      <c r="D31" s="3" t="s">
        <v>7</v>
      </c>
      <c r="E31" s="3" t="s">
        <v>5</v>
      </c>
      <c r="F31" s="3" t="s">
        <v>6</v>
      </c>
    </row>
    <row r="32" spans="2:6" x14ac:dyDescent="0.35">
      <c r="B32" t="s">
        <v>9</v>
      </c>
      <c r="C32" t="s">
        <v>10</v>
      </c>
      <c r="D32" t="s">
        <v>11</v>
      </c>
      <c r="E32">
        <v>46</v>
      </c>
      <c r="F32">
        <v>499.99</v>
      </c>
    </row>
    <row r="33" spans="2:6" x14ac:dyDescent="0.35">
      <c r="D33" t="s">
        <v>12</v>
      </c>
      <c r="E33">
        <v>11</v>
      </c>
      <c r="F33">
        <v>399.99</v>
      </c>
    </row>
    <row r="34" spans="2:6" x14ac:dyDescent="0.35">
      <c r="C34" t="s">
        <v>13</v>
      </c>
      <c r="D34" t="s">
        <v>11</v>
      </c>
      <c r="E34">
        <v>28</v>
      </c>
      <c r="F34">
        <v>449.99</v>
      </c>
    </row>
    <row r="35" spans="2:6" x14ac:dyDescent="0.35">
      <c r="D35" t="s">
        <v>12</v>
      </c>
      <c r="E35">
        <v>21</v>
      </c>
      <c r="F35">
        <v>399.99</v>
      </c>
    </row>
    <row r="36" spans="2:6" x14ac:dyDescent="0.35">
      <c r="C36" t="s">
        <v>14</v>
      </c>
      <c r="D36" t="s">
        <v>11</v>
      </c>
      <c r="E36">
        <v>33</v>
      </c>
      <c r="F36">
        <v>474.99</v>
      </c>
    </row>
    <row r="37" spans="2:6" x14ac:dyDescent="0.35">
      <c r="D37" t="s">
        <v>12</v>
      </c>
      <c r="E37">
        <v>3</v>
      </c>
      <c r="F37">
        <v>449.99</v>
      </c>
    </row>
    <row r="38" spans="2:6" x14ac:dyDescent="0.35">
      <c r="B38" t="s">
        <v>15</v>
      </c>
      <c r="C38" t="s">
        <v>16</v>
      </c>
      <c r="D38" t="s">
        <v>11</v>
      </c>
      <c r="E38">
        <v>58</v>
      </c>
      <c r="F38">
        <v>99.99</v>
      </c>
    </row>
    <row r="39" spans="2:6" x14ac:dyDescent="0.35">
      <c r="C39" t="s">
        <v>17</v>
      </c>
      <c r="D39" t="s">
        <v>11</v>
      </c>
      <c r="E39">
        <v>33</v>
      </c>
      <c r="F39">
        <v>99.99</v>
      </c>
    </row>
    <row r="40" spans="2:6" x14ac:dyDescent="0.35">
      <c r="D40" t="s">
        <v>12</v>
      </c>
      <c r="E40">
        <v>24</v>
      </c>
      <c r="F40">
        <v>79.989999999999995</v>
      </c>
    </row>
    <row r="41" spans="2:6" x14ac:dyDescent="0.35">
      <c r="B41" t="s">
        <v>18</v>
      </c>
      <c r="C41" t="s">
        <v>19</v>
      </c>
      <c r="D41" t="s">
        <v>11</v>
      </c>
      <c r="E41">
        <v>25</v>
      </c>
      <c r="F41">
        <v>299.99</v>
      </c>
    </row>
    <row r="42" spans="2:6" x14ac:dyDescent="0.35">
      <c r="D42" t="s">
        <v>12</v>
      </c>
      <c r="E42">
        <v>7</v>
      </c>
      <c r="F42">
        <v>274.99</v>
      </c>
    </row>
    <row r="43" spans="2:6" x14ac:dyDescent="0.35">
      <c r="C43" t="s">
        <v>20</v>
      </c>
      <c r="D43" t="s">
        <v>11</v>
      </c>
      <c r="E43">
        <v>18</v>
      </c>
      <c r="F43">
        <v>249.99</v>
      </c>
    </row>
    <row r="44" spans="2:6" x14ac:dyDescent="0.35">
      <c r="D44" t="s">
        <v>12</v>
      </c>
      <c r="E44">
        <v>7</v>
      </c>
      <c r="F44">
        <v>199.99</v>
      </c>
    </row>
    <row r="45" spans="2:6" ht="15" thickBot="1" x14ac:dyDescent="0.4">
      <c r="B45" s="17" t="s">
        <v>21</v>
      </c>
      <c r="C45" s="17"/>
      <c r="D45" s="17"/>
      <c r="E45" s="17"/>
      <c r="F45" s="17"/>
    </row>
    <row r="46" spans="2:6" x14ac:dyDescent="0.35">
      <c r="B46" t="s">
        <v>22</v>
      </c>
      <c r="C46" t="s">
        <v>23</v>
      </c>
      <c r="D46" t="s">
        <v>11</v>
      </c>
      <c r="E46">
        <v>14</v>
      </c>
      <c r="F46">
        <v>699.99</v>
      </c>
    </row>
    <row r="47" spans="2:6" x14ac:dyDescent="0.35">
      <c r="C47" t="s">
        <v>24</v>
      </c>
      <c r="D47" t="s">
        <v>11</v>
      </c>
      <c r="E47">
        <v>11</v>
      </c>
      <c r="F47">
        <v>899.99</v>
      </c>
    </row>
    <row r="48" spans="2:6" x14ac:dyDescent="0.35">
      <c r="D48" t="s">
        <v>12</v>
      </c>
      <c r="E48">
        <v>4</v>
      </c>
      <c r="F48">
        <v>749.99</v>
      </c>
    </row>
    <row r="49" spans="2:6" x14ac:dyDescent="0.35">
      <c r="C49" t="s">
        <v>25</v>
      </c>
      <c r="D49" t="s">
        <v>11</v>
      </c>
      <c r="E49">
        <v>15</v>
      </c>
      <c r="F49">
        <v>599.99</v>
      </c>
    </row>
    <row r="50" spans="2:6" x14ac:dyDescent="0.35">
      <c r="D50" t="s">
        <v>12</v>
      </c>
      <c r="E50">
        <v>4</v>
      </c>
      <c r="F50">
        <v>539.99</v>
      </c>
    </row>
    <row r="52" spans="2:6" ht="17.5" thickBot="1" x14ac:dyDescent="0.45">
      <c r="B52" s="19" t="s">
        <v>28</v>
      </c>
      <c r="C52" s="19"/>
      <c r="D52" s="19"/>
      <c r="E52" s="19"/>
      <c r="F52" s="19"/>
    </row>
    <row r="53" spans="2:6" ht="15.5" thickTop="1" thickBot="1" x14ac:dyDescent="0.4">
      <c r="B53" s="17" t="s">
        <v>8</v>
      </c>
      <c r="C53" s="17"/>
      <c r="D53" s="17"/>
      <c r="E53" s="17"/>
      <c r="F53" s="17"/>
    </row>
    <row r="54" spans="2:6" x14ac:dyDescent="0.35">
      <c r="B54" s="3" t="s">
        <v>3</v>
      </c>
      <c r="C54" s="3" t="s">
        <v>4</v>
      </c>
      <c r="D54" s="3" t="s">
        <v>7</v>
      </c>
      <c r="E54" s="3" t="s">
        <v>5</v>
      </c>
      <c r="F54" s="3" t="s">
        <v>6</v>
      </c>
    </row>
    <row r="55" spans="2:6" x14ac:dyDescent="0.35">
      <c r="B55" t="s">
        <v>9</v>
      </c>
      <c r="C55" t="s">
        <v>10</v>
      </c>
      <c r="D55" t="s">
        <v>30</v>
      </c>
      <c r="E55">
        <v>14</v>
      </c>
      <c r="F55">
        <v>499.99</v>
      </c>
    </row>
    <row r="56" spans="2:6" x14ac:dyDescent="0.35">
      <c r="C56" t="s">
        <v>29</v>
      </c>
      <c r="D56" t="s">
        <v>30</v>
      </c>
      <c r="E56">
        <v>3</v>
      </c>
      <c r="F56">
        <v>1099.99</v>
      </c>
    </row>
    <row r="57" spans="2:6" x14ac:dyDescent="0.35">
      <c r="D57" t="s">
        <v>31</v>
      </c>
      <c r="E57">
        <v>1</v>
      </c>
      <c r="F57">
        <v>999.99</v>
      </c>
    </row>
    <row r="58" spans="2:6" x14ac:dyDescent="0.35">
      <c r="B58" t="s">
        <v>15</v>
      </c>
      <c r="C58" t="s">
        <v>16</v>
      </c>
      <c r="D58" t="s">
        <v>30</v>
      </c>
      <c r="E58">
        <v>7</v>
      </c>
      <c r="F58">
        <v>99.99</v>
      </c>
    </row>
    <row r="59" spans="2:6" x14ac:dyDescent="0.35">
      <c r="C59" t="s">
        <v>17</v>
      </c>
      <c r="D59" t="s">
        <v>30</v>
      </c>
      <c r="E59">
        <v>3</v>
      </c>
      <c r="F59">
        <v>99.99</v>
      </c>
    </row>
    <row r="60" spans="2:6" x14ac:dyDescent="0.35">
      <c r="D60" t="s">
        <v>31</v>
      </c>
      <c r="E60">
        <v>6</v>
      </c>
      <c r="F60">
        <v>79.989999999999995</v>
      </c>
    </row>
    <row r="61" spans="2:6" x14ac:dyDescent="0.35">
      <c r="B61" t="s">
        <v>18</v>
      </c>
      <c r="C61" t="s">
        <v>19</v>
      </c>
      <c r="D61" t="s">
        <v>30</v>
      </c>
      <c r="E61">
        <v>4</v>
      </c>
      <c r="F61">
        <v>299.99</v>
      </c>
    </row>
    <row r="62" spans="2:6" x14ac:dyDescent="0.35">
      <c r="C62" t="s">
        <v>20</v>
      </c>
      <c r="D62" t="s">
        <v>31</v>
      </c>
      <c r="E62">
        <v>2</v>
      </c>
      <c r="F62">
        <v>199.99</v>
      </c>
    </row>
    <row r="63" spans="2:6" ht="15" thickBot="1" x14ac:dyDescent="0.4">
      <c r="B63" s="17" t="s">
        <v>21</v>
      </c>
      <c r="C63" s="17"/>
      <c r="D63" s="17"/>
      <c r="E63" s="17"/>
      <c r="F63" s="17"/>
    </row>
    <row r="64" spans="2:6" x14ac:dyDescent="0.35">
      <c r="B64" t="s">
        <v>22</v>
      </c>
      <c r="C64" t="s">
        <v>23</v>
      </c>
      <c r="D64" t="s">
        <v>30</v>
      </c>
      <c r="E64">
        <v>18</v>
      </c>
      <c r="F64">
        <v>699.99</v>
      </c>
    </row>
    <row r="65" spans="3:6" x14ac:dyDescent="0.35">
      <c r="D65" t="s">
        <v>31</v>
      </c>
      <c r="E65">
        <v>11</v>
      </c>
      <c r="F65">
        <v>599.99</v>
      </c>
    </row>
    <row r="66" spans="3:6" x14ac:dyDescent="0.35">
      <c r="C66" t="s">
        <v>24</v>
      </c>
      <c r="D66" t="s">
        <v>30</v>
      </c>
      <c r="E66">
        <v>16</v>
      </c>
      <c r="F66">
        <v>899.99</v>
      </c>
    </row>
    <row r="67" spans="3:6" x14ac:dyDescent="0.35">
      <c r="D67" t="s">
        <v>31</v>
      </c>
      <c r="E67">
        <v>12</v>
      </c>
      <c r="F67">
        <v>799.99</v>
      </c>
    </row>
    <row r="68" spans="3:6" x14ac:dyDescent="0.35">
      <c r="C68" t="s">
        <v>25</v>
      </c>
      <c r="D68" t="s">
        <v>30</v>
      </c>
      <c r="E68">
        <v>26</v>
      </c>
      <c r="F68">
        <v>599.99</v>
      </c>
    </row>
    <row r="69" spans="3:6" x14ac:dyDescent="0.35">
      <c r="D69" t="s">
        <v>31</v>
      </c>
      <c r="E69">
        <v>13</v>
      </c>
      <c r="F69">
        <v>499.99</v>
      </c>
    </row>
    <row r="70" spans="3:6" x14ac:dyDescent="0.35">
      <c r="C70" t="s">
        <v>26</v>
      </c>
      <c r="D70" t="s">
        <v>30</v>
      </c>
      <c r="E70">
        <v>5</v>
      </c>
      <c r="F70">
        <v>3999.99</v>
      </c>
    </row>
    <row r="71" spans="3:6" x14ac:dyDescent="0.35">
      <c r="D71" t="s">
        <v>31</v>
      </c>
      <c r="E71">
        <v>2</v>
      </c>
      <c r="F71">
        <v>3799.99</v>
      </c>
    </row>
  </sheetData>
  <mergeCells count="10">
    <mergeCell ref="B53:F53"/>
    <mergeCell ref="B19:F19"/>
    <mergeCell ref="B45:F45"/>
    <mergeCell ref="B63:F63"/>
    <mergeCell ref="B3:F3"/>
    <mergeCell ref="B4:F4"/>
    <mergeCell ref="B5:F5"/>
    <mergeCell ref="B29:F29"/>
    <mergeCell ref="B30:F30"/>
    <mergeCell ref="B52:F5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topLeftCell="D1" zoomScale="73" workbookViewId="0">
      <pane ySplit="4" topLeftCell="A12" activePane="bottomLeft" state="frozen"/>
      <selection pane="bottomLeft" activeCell="J14" sqref="J14"/>
    </sheetView>
  </sheetViews>
  <sheetFormatPr defaultRowHeight="14.5" x14ac:dyDescent="0.35"/>
  <cols>
    <col min="1" max="1" width="3.6328125" customWidth="1"/>
    <col min="2" max="2" width="12.36328125" customWidth="1"/>
    <col min="3" max="3" width="8.7265625" bestFit="1" customWidth="1"/>
    <col min="4" max="4" width="10.08984375" bestFit="1" customWidth="1"/>
    <col min="5" max="5" width="14" bestFit="1" customWidth="1"/>
    <col min="6" max="6" width="24.6328125" bestFit="1" customWidth="1"/>
    <col min="7" max="7" width="15.36328125" bestFit="1" customWidth="1"/>
    <col min="8" max="8" width="27.36328125" bestFit="1" customWidth="1"/>
    <col min="9" max="9" width="16.1796875" bestFit="1" customWidth="1"/>
    <col min="10" max="10" width="25.6328125" bestFit="1" customWidth="1"/>
    <col min="11" max="11" width="24.36328125" bestFit="1" customWidth="1"/>
    <col min="12" max="12" width="18.08984375" customWidth="1"/>
    <col min="13" max="13" width="14.453125" bestFit="1" customWidth="1"/>
  </cols>
  <sheetData>
    <row r="1" spans="1:13" x14ac:dyDescent="0.35">
      <c r="A1" s="1" t="s">
        <v>36</v>
      </c>
    </row>
    <row r="3" spans="1:13" ht="19.5" customHeight="1" thickBot="1" x14ac:dyDescent="0.5">
      <c r="B3" s="4" t="s">
        <v>1</v>
      </c>
      <c r="C3" s="4"/>
      <c r="D3" s="4"/>
      <c r="E3" s="4"/>
      <c r="F3" s="4"/>
      <c r="G3" s="4"/>
      <c r="H3" s="4"/>
      <c r="I3" s="7"/>
      <c r="J3" s="4"/>
      <c r="K3" s="7"/>
      <c r="L3" s="7"/>
    </row>
    <row r="4" ht="15.5" thickTop="1" thickBot="1" x14ac:dyDescent="0.4">
      <c r="B4" s="5" t="s">
        <v>32</v>
      </c>
      <c r="C4" s="5" t="s">
        <v>33</v>
      </c>
      <c r="D4" s="5" t="s">
        <v>3</v>
      </c>
      <c r="E4" s="5" t="s">
        <v>4</v>
      </c>
      <c r="F4" s="5" t="s">
        <v>34</v>
      </c>
      <c r="G4" s="5" t="s">
        <v>30</v>
      </c>
      <c r="H4" s="5" t="s">
        <v>35</v>
      </c>
      <c r="I4" s="5" t="s">
        <v>31</v>
      </c>
      <c r="J4" s="5" t="s">
        <v>44</v>
      </c>
      <c r="K4" s="5" t="s">
        <v>45</v>
      </c>
      <c r="L4" s="5" t="s">
        <v>46</v>
      </c>
      <c r="M4" s="11" t="s">
        <v>47</v>
      </c>
      <c r="N4" s="5" t="inlineStr">
        <is>
          <t>Unit cost</t>
        </is>
      </c>
      <c r="O4" s="5" t="inlineStr">
        <is>
          <t>Total costs</t>
        </is>
      </c>
    </row>
    <row r="5" x14ac:dyDescent="0.35">
      <c r="B5" t="s">
        <v>2</v>
      </c>
      <c r="C5" t="s">
        <v>8</v>
      </c>
      <c r="D5" t="s">
        <v>9</v>
      </c>
      <c r="E5" t="s">
        <v>10</v>
      </c>
      <c r="F5">
        <v>56</v>
      </c>
      <c r="G5" s="6">
        <v>499.99</v>
      </c>
      <c r="H5">
        <v>12</v>
      </c>
      <c r="I5" s="6">
        <v>399.99</v>
      </c>
      <c r="J5" s="6">
        <f>F5*G5</f>
        <v>27999.440000000002</v>
      </c>
      <c r="K5" s="6">
        <f>H5*I5</f>
        <v>4799.88</v>
      </c>
      <c r="L5" s="6">
        <f t="shared" ref="L5:L12" si="0">J5+K5</f>
        <v>32799.32</v>
      </c>
      <c r="M5" s="10">
        <f>IFERROR(IF(I5=0,0,(G5-I5)/G5),0)</f>
      </c>
      <c r="N5" s="6">
        <f>VLOOKUP(E5,'Additional data'!$B$5:$C$16,2,FALSE)</f>
      </c>
      <c r="O5" s="6">
        <f>(F5+H5)*N5</f>
      </c>
    </row>
    <row r="6" x14ac:dyDescent="0.35">
      <c r="B6" t="s">
        <v>2</v>
      </c>
      <c r="C6" t="s">
        <v>8</v>
      </c>
      <c r="D6" t="s">
        <v>9</v>
      </c>
      <c r="E6" t="s">
        <v>13</v>
      </c>
      <c r="F6">
        <v>32</v>
      </c>
      <c r="G6" s="6">
        <v>449.99</v>
      </c>
      <c r="H6">
        <v>24</v>
      </c>
      <c r="I6" s="6">
        <v>399.99</v>
      </c>
      <c r="J6" s="6">
        <f t="shared" ref="J6:J35" si="1">F6*G6</f>
        <v>14399.68</v>
      </c>
      <c r="K6" s="6">
        <f t="shared" ref="K6:K35" si="2">H6*I6</f>
        <v>9599.76</v>
      </c>
      <c r="L6" s="6">
        <f t="shared" si="0"/>
        <v>23999.440000000002</v>
      </c>
      <c r="M6" s="10">
        <f>IFERROR(IF(I6=0,0,(G6-I6)/G6),0)</f>
      </c>
      <c r="N6" s="6">
        <f>VLOOKUP(E6,'Additional data'!$B$5:$C$16,2,FALSE)</f>
      </c>
      <c r="O6" s="6">
        <f>(F6+H6)*N6</f>
      </c>
    </row>
    <row r="7" x14ac:dyDescent="0.35">
      <c r="B7" t="s">
        <v>2</v>
      </c>
      <c r="C7" t="s">
        <v>8</v>
      </c>
      <c r="D7" t="s">
        <v>9</v>
      </c>
      <c r="E7" t="s">
        <v>14</v>
      </c>
      <c r="F7">
        <v>36</v>
      </c>
      <c r="G7" s="6">
        <v>474.99</v>
      </c>
      <c r="H7">
        <v>2</v>
      </c>
      <c r="I7" s="6">
        <v>449.99</v>
      </c>
      <c r="J7" s="6">
        <f t="shared" si="1"/>
        <v>17099.64</v>
      </c>
      <c r="K7" s="6">
        <f t="shared" si="2"/>
        <v>899.98</v>
      </c>
      <c r="L7" s="6">
        <f t="shared" si="0"/>
        <v>17999.62</v>
      </c>
      <c r="M7" s="10">
        <f>IFERROR(IF(I7=0,0,(G7-I7)/G7),0)</f>
      </c>
      <c r="N7" s="6">
        <f>VLOOKUP(E7,'Additional data'!$B$5:$C$16,2,FALSE)</f>
      </c>
      <c r="O7" s="6">
        <f>(F7+H7)*N7</f>
      </c>
    </row>
    <row r="8" x14ac:dyDescent="0.35">
      <c r="B8" t="s">
        <v>2</v>
      </c>
      <c r="C8" t="s">
        <v>8</v>
      </c>
      <c r="D8" t="s">
        <v>15</v>
      </c>
      <c r="E8" t="s">
        <v>16</v>
      </c>
      <c r="F8">
        <v>60</v>
      </c>
      <c r="G8" s="6">
        <v>99.99</v>
      </c>
      <c r="H8">
        <v>0</v>
      </c>
      <c r="I8" s="6"/>
      <c r="J8" s="6">
        <f t="shared" si="1"/>
        <v>5999.4</v>
      </c>
      <c r="K8" s="6">
        <f t="shared" si="2"/>
        <v>0</v>
      </c>
      <c r="L8" s="6">
        <f t="shared" si="0"/>
        <v>5999.4</v>
      </c>
      <c r="M8" s="10">
        <f>IFERROR(IF(I8=0,0,(G8-I8)/G8),0)</f>
      </c>
      <c r="N8" s="6">
        <f>VLOOKUP(E8,'Additional data'!$B$5:$C$16,2,FALSE)</f>
      </c>
      <c r="O8" s="6">
        <f>(F8+H8)*N8</f>
      </c>
    </row>
    <row r="9" x14ac:dyDescent="0.35">
      <c r="B9" t="s">
        <v>2</v>
      </c>
      <c r="C9" t="s">
        <v>8</v>
      </c>
      <c r="D9" t="s">
        <v>15</v>
      </c>
      <c r="E9" t="s">
        <v>17</v>
      </c>
      <c r="F9">
        <v>40</v>
      </c>
      <c r="G9" s="6">
        <v>99.99</v>
      </c>
      <c r="H9">
        <v>17</v>
      </c>
      <c r="I9" s="6">
        <v>79.989999999999995</v>
      </c>
      <c r="J9" s="6">
        <f t="shared" si="1"/>
        <v>3999.6</v>
      </c>
      <c r="K9" s="6">
        <f t="shared" si="2"/>
        <v>1359.83</v>
      </c>
      <c r="L9" s="6">
        <f t="shared" si="0"/>
        <v>5359.43</v>
      </c>
      <c r="M9" s="10">
        <f>IFERROR(IF(I9=0,0,(G9-I9)/G9),0)</f>
      </c>
      <c r="N9" s="6">
        <f>VLOOKUP(E9,'Additional data'!$B$5:$C$16,2,FALSE)</f>
      </c>
      <c r="O9" s="6">
        <f>(F9+H9)*N9</f>
      </c>
    </row>
    <row r="10" x14ac:dyDescent="0.35">
      <c r="B10" t="s">
        <v>2</v>
      </c>
      <c r="C10" t="s">
        <v>8</v>
      </c>
      <c r="D10" t="s">
        <v>18</v>
      </c>
      <c r="E10" t="s">
        <v>19</v>
      </c>
      <c r="F10">
        <v>33</v>
      </c>
      <c r="G10" s="6">
        <v>299.99</v>
      </c>
      <c r="H10">
        <v>0</v>
      </c>
      <c r="I10" s="6"/>
      <c r="J10" s="6">
        <f t="shared" si="1"/>
        <v>9899.67</v>
      </c>
      <c r="K10" s="6">
        <f t="shared" si="2"/>
        <v>0</v>
      </c>
      <c r="L10" s="6">
        <f t="shared" si="0"/>
        <v>9899.67</v>
      </c>
      <c r="M10" s="10">
        <f>IFERROR(IF(I10=0,0,(G10-I10)/G10),0)</f>
      </c>
      <c r="N10" s="6">
        <f>VLOOKUP(E10,'Additional data'!$B$5:$C$16,2,FALSE)</f>
      </c>
      <c r="O10" s="6">
        <f>(F10+H10)*N10</f>
      </c>
    </row>
    <row r="11" x14ac:dyDescent="0.35">
      <c r="B11" t="s">
        <v>2</v>
      </c>
      <c r="C11" t="s">
        <v>8</v>
      </c>
      <c r="D11" t="s">
        <v>18</v>
      </c>
      <c r="E11" t="s">
        <v>20</v>
      </c>
      <c r="F11">
        <v>24</v>
      </c>
      <c r="G11" s="6">
        <v>249.99</v>
      </c>
      <c r="H11">
        <v>8</v>
      </c>
      <c r="I11" s="6">
        <v>199.99</v>
      </c>
      <c r="J11" s="6">
        <f t="shared" si="1"/>
        <v>5999.76</v>
      </c>
      <c r="K11" s="6">
        <f t="shared" si="2"/>
        <v>1599.92</v>
      </c>
      <c r="L11" s="6">
        <f t="shared" si="0"/>
        <v>7599.68</v>
      </c>
      <c r="M11" s="10">
        <f>IFERROR(IF(I11=0,0,(G11-I11)/G11),0)</f>
      </c>
      <c r="N11" s="6">
        <f>VLOOKUP(E11,'Additional data'!$B$5:$C$16,2,FALSE)</f>
      </c>
      <c r="O11" s="6">
        <f>(F11+H11)*N11</f>
      </c>
    </row>
    <row r="12" x14ac:dyDescent="0.35">
      <c r="B12" t="s">
        <v>2</v>
      </c>
      <c r="C12" t="s">
        <v>21</v>
      </c>
      <c r="D12" t="s">
        <v>22</v>
      </c>
      <c r="E12" t="s">
        <v>23</v>
      </c>
      <c r="F12">
        <v>24</v>
      </c>
      <c r="G12" s="6">
        <v>699.99</v>
      </c>
      <c r="H12">
        <v>24</v>
      </c>
      <c r="I12" s="6">
        <v>599.99</v>
      </c>
      <c r="J12" s="6">
        <f t="shared" si="1"/>
        <v>16799.760000000002</v>
      </c>
      <c r="K12" s="6">
        <f t="shared" si="2"/>
        <v>14399.76</v>
      </c>
      <c r="L12" s="6">
        <f t="shared" si="0"/>
        <v>31199.520000000004</v>
      </c>
      <c r="M12" s="10">
        <f>IFERROR(IF(I12=0,0,(G12-I12)/G12),0)</f>
      </c>
      <c r="N12" s="6">
        <f>VLOOKUP(E12,'Additional data'!$B$5:$C$16,2,FALSE)</f>
      </c>
      <c r="O12" s="6">
        <f>(F12+H12)*N12</f>
      </c>
    </row>
    <row r="13" x14ac:dyDescent="0.35">
      <c r="B13" t="s">
        <v>2</v>
      </c>
      <c r="C13" t="s">
        <v>21</v>
      </c>
      <c r="D13" t="s">
        <v>22</v>
      </c>
      <c r="E13" t="s">
        <v>24</v>
      </c>
      <c r="F13">
        <v>12</v>
      </c>
      <c r="G13" s="6">
        <v>899.99</v>
      </c>
      <c r="H13">
        <v>2</v>
      </c>
      <c r="I13" s="6">
        <v>799.99</v>
      </c>
      <c r="J13" s="6">
        <f t="shared" si="1"/>
        <v>10799.880000000001</v>
      </c>
      <c r="K13" s="6">
        <f t="shared" si="2"/>
        <v>1599.98</v>
      </c>
      <c r="L13" s="6">
        <f>J13+K13</f>
        <v>12399.86</v>
      </c>
      <c r="M13" s="10">
        <f>IFERROR(IF(I13=0,0,(G13-I13)/G13),0)</f>
      </c>
      <c r="N13" s="6">
        <f>VLOOKUP(E13,'Additional data'!$B$5:$C$16,2,FALSE)</f>
      </c>
      <c r="O13" s="6">
        <f>(F13+H13)*N13</f>
      </c>
    </row>
    <row r="14" x14ac:dyDescent="0.35">
      <c r="B14" t="s">
        <v>2</v>
      </c>
      <c r="C14" t="s">
        <v>21</v>
      </c>
      <c r="D14" t="s">
        <v>22</v>
      </c>
      <c r="E14" t="s">
        <v>25</v>
      </c>
      <c r="F14">
        <v>28</v>
      </c>
      <c r="G14" s="6">
        <v>599.99</v>
      </c>
      <c r="H14">
        <v>14</v>
      </c>
      <c r="I14" s="6">
        <v>499.99</v>
      </c>
      <c r="J14" s="6">
        <f t="shared" si="1"/>
        <v>16799.72</v>
      </c>
      <c r="K14" s="6">
        <f t="shared" si="2"/>
        <v>6999.8600000000006</v>
      </c>
      <c r="L14" s="6">
        <f t="shared" ref="L14:L35" si="4">J14+K14</f>
        <v>23799.58</v>
      </c>
      <c r="M14" s="10">
        <f>IFERROR(IF(I14=0,0,(G14-I14)/G14),0)</f>
      </c>
      <c r="N14" s="6">
        <f>VLOOKUP(E14,'Additional data'!$B$5:$C$16,2,FALSE)</f>
      </c>
      <c r="O14" s="6">
        <f>(F14+H14)*N14</f>
      </c>
    </row>
    <row r="15" x14ac:dyDescent="0.35">
      <c r="B15" t="s">
        <v>2</v>
      </c>
      <c r="C15" t="s">
        <v>21</v>
      </c>
      <c r="D15" t="s">
        <v>22</v>
      </c>
      <c r="E15" t="s">
        <v>26</v>
      </c>
      <c r="F15">
        <v>4</v>
      </c>
      <c r="G15" s="6">
        <v>3999.99</v>
      </c>
      <c r="H15">
        <v>1</v>
      </c>
      <c r="I15" s="6">
        <v>3799.99</v>
      </c>
      <c r="J15" s="6">
        <f t="shared" si="1"/>
        <v>15999.96</v>
      </c>
      <c r="K15" s="6">
        <f t="shared" si="2"/>
        <v>3799.99</v>
      </c>
      <c r="L15" s="6">
        <f t="shared" si="4"/>
        <v>19799.949999999997</v>
      </c>
      <c r="M15" s="10">
        <f>IFERROR(IF(I15=0,0,(G15-I15)/G15),0)</f>
      </c>
      <c r="N15" s="6">
        <f>VLOOKUP(E15,'Additional data'!$B$5:$C$16,2,FALSE)</f>
      </c>
      <c r="O15" s="6">
        <f>(F15+H15)*N15</f>
      </c>
    </row>
    <row r="16" x14ac:dyDescent="0.35">
      <c r="B16" t="s">
        <v>27</v>
      </c>
      <c r="C16" t="s">
        <v>8</v>
      </c>
      <c r="D16" t="s">
        <v>9</v>
      </c>
      <c r="E16" t="s">
        <v>10</v>
      </c>
      <c r="F16">
        <v>46</v>
      </c>
      <c r="G16" s="6">
        <v>499.99</v>
      </c>
      <c r="H16">
        <v>11</v>
      </c>
      <c r="I16" s="6">
        <v>399.99</v>
      </c>
      <c r="J16" s="6">
        <f t="shared" si="1"/>
        <v>22999.54</v>
      </c>
      <c r="K16" s="6">
        <f t="shared" si="2"/>
        <v>4399.8900000000003</v>
      </c>
      <c r="L16" s="6">
        <f t="shared" si="4"/>
        <v>27399.43</v>
      </c>
      <c r="M16" s="10">
        <f>IFERROR(IF(I16=0,0,(G16-I16)/G16),0)</f>
      </c>
      <c r="N16" s="6">
        <f>VLOOKUP(E16,'Additional data'!$B$5:$C$16,2,FALSE)</f>
      </c>
      <c r="O16" s="6">
        <f>(F16+H16)*N16</f>
      </c>
    </row>
    <row r="17" x14ac:dyDescent="0.35">
      <c r="B17" t="s">
        <v>27</v>
      </c>
      <c r="C17" t="s">
        <v>8</v>
      </c>
      <c r="D17" t="s">
        <v>9</v>
      </c>
      <c r="E17" t="s">
        <v>13</v>
      </c>
      <c r="F17">
        <v>28</v>
      </c>
      <c r="G17" s="6">
        <v>449.99</v>
      </c>
      <c r="H17">
        <v>21</v>
      </c>
      <c r="I17" s="6">
        <v>399.99</v>
      </c>
      <c r="J17" s="6">
        <f t="shared" si="1"/>
        <v>12599.720000000001</v>
      </c>
      <c r="K17" s="6">
        <f t="shared" si="2"/>
        <v>8399.7900000000009</v>
      </c>
      <c r="L17" s="6">
        <f t="shared" si="4"/>
        <v>20999.510000000002</v>
      </c>
      <c r="M17" s="10">
        <f>IFERROR(IF(I17=0,0,(G17-I17)/G17),0)</f>
      </c>
      <c r="N17" s="6">
        <f>VLOOKUP(E17,'Additional data'!$B$5:$C$16,2,FALSE)</f>
      </c>
      <c r="O17" s="6">
        <f>(F17+H17)*N17</f>
      </c>
    </row>
    <row r="18" x14ac:dyDescent="0.35">
      <c r="B18" t="s">
        <v>27</v>
      </c>
      <c r="C18" t="s">
        <v>8</v>
      </c>
      <c r="D18" t="s">
        <v>9</v>
      </c>
      <c r="E18" t="s">
        <v>14</v>
      </c>
      <c r="F18">
        <v>33</v>
      </c>
      <c r="G18" s="6">
        <v>474.99</v>
      </c>
      <c r="H18">
        <v>3</v>
      </c>
      <c r="I18" s="6">
        <v>449.99</v>
      </c>
      <c r="J18" s="6">
        <f t="shared" si="1"/>
        <v>15674.67</v>
      </c>
      <c r="K18" s="6">
        <f t="shared" si="2"/>
        <v>1349.97</v>
      </c>
      <c r="L18" s="6">
        <f t="shared" si="4"/>
        <v>17024.64</v>
      </c>
      <c r="M18" s="10">
        <f>IFERROR(IF(I18=0,0,(G18-I18)/G18),0)</f>
      </c>
      <c r="N18" s="6">
        <f>VLOOKUP(E18,'Additional data'!$B$5:$C$16,2,FALSE)</f>
      </c>
      <c r="O18" s="6">
        <f>(F18+H18)*N18</f>
      </c>
    </row>
    <row r="19" x14ac:dyDescent="0.35">
      <c r="B19" t="s">
        <v>27</v>
      </c>
      <c r="C19" t="s">
        <v>8</v>
      </c>
      <c r="D19" t="s">
        <v>15</v>
      </c>
      <c r="E19" t="s">
        <v>16</v>
      </c>
      <c r="F19">
        <v>58</v>
      </c>
      <c r="G19" s="6">
        <v>99.99</v>
      </c>
      <c r="H19">
        <v>0</v>
      </c>
      <c r="I19" s="6"/>
      <c r="J19" s="6">
        <f t="shared" si="1"/>
        <v>5799.42</v>
      </c>
      <c r="K19" s="6">
        <f t="shared" si="2"/>
        <v>0</v>
      </c>
      <c r="L19" s="6">
        <f t="shared" si="4"/>
        <v>5799.42</v>
      </c>
      <c r="M19" s="10">
        <f>IFERROR(IF(I19=0,0,(G19-I19)/G19),0)</f>
      </c>
      <c r="N19" s="6">
        <f>VLOOKUP(E19,'Additional data'!$B$5:$C$16,2,FALSE)</f>
      </c>
      <c r="O19" s="6">
        <f>(F19+H19)*N19</f>
      </c>
    </row>
    <row r="20" x14ac:dyDescent="0.35">
      <c r="B20" t="s">
        <v>27</v>
      </c>
      <c r="C20" t="s">
        <v>8</v>
      </c>
      <c r="D20" t="s">
        <v>15</v>
      </c>
      <c r="E20" t="s">
        <v>17</v>
      </c>
      <c r="F20">
        <v>33</v>
      </c>
      <c r="G20" s="6">
        <v>99.99</v>
      </c>
      <c r="H20">
        <v>24</v>
      </c>
      <c r="I20" s="6">
        <v>79.989999999999995</v>
      </c>
      <c r="J20" s="6">
        <f t="shared" si="1"/>
        <v>3299.6699999999996</v>
      </c>
      <c r="K20" s="6">
        <f t="shared" si="2"/>
        <v>1919.7599999999998</v>
      </c>
      <c r="L20" s="6">
        <f t="shared" si="4"/>
        <v>5219.4299999999994</v>
      </c>
      <c r="M20" s="10">
        <f>IFERROR(IF(I20=0,0,(G20-I20)/G20),0)</f>
      </c>
      <c r="N20" s="6">
        <f>VLOOKUP(E20,'Additional data'!$B$5:$C$16,2,FALSE)</f>
      </c>
      <c r="O20" s="6">
        <f>(F20+H20)*N20</f>
      </c>
    </row>
    <row r="21" x14ac:dyDescent="0.35">
      <c r="B21" t="s">
        <v>27</v>
      </c>
      <c r="C21" t="s">
        <v>8</v>
      </c>
      <c r="D21" t="s">
        <v>18</v>
      </c>
      <c r="E21" t="s">
        <v>19</v>
      </c>
      <c r="F21">
        <v>25</v>
      </c>
      <c r="G21" s="6">
        <v>299.99</v>
      </c>
      <c r="H21">
        <v>7</v>
      </c>
      <c r="I21" s="6">
        <v>274.99</v>
      </c>
      <c r="J21" s="6">
        <f t="shared" si="1"/>
        <v>7499.75</v>
      </c>
      <c r="K21" s="6">
        <f t="shared" si="2"/>
        <v>1924.93</v>
      </c>
      <c r="L21" s="6">
        <f t="shared" si="4"/>
        <v>9424.68</v>
      </c>
      <c r="M21" s="10">
        <f>IFERROR(IF(I21=0,0,(G21-I21)/G21),0)</f>
      </c>
      <c r="N21" s="6">
        <f>VLOOKUP(E21,'Additional data'!$B$5:$C$16,2,FALSE)</f>
      </c>
      <c r="O21" s="6">
        <f>(F21+H21)*N21</f>
      </c>
    </row>
    <row r="22" x14ac:dyDescent="0.35">
      <c r="B22" t="s">
        <v>27</v>
      </c>
      <c r="C22" t="s">
        <v>8</v>
      </c>
      <c r="D22" t="s">
        <v>18</v>
      </c>
      <c r="E22" t="s">
        <v>20</v>
      </c>
      <c r="F22">
        <v>18</v>
      </c>
      <c r="G22" s="6">
        <v>249.99</v>
      </c>
      <c r="H22">
        <v>7</v>
      </c>
      <c r="I22" s="6">
        <v>199.99</v>
      </c>
      <c r="J22" s="6">
        <f t="shared" si="1"/>
        <v>4499.82</v>
      </c>
      <c r="K22" s="6">
        <f t="shared" si="2"/>
        <v>1399.93</v>
      </c>
      <c r="L22" s="6">
        <f t="shared" si="4"/>
        <v>5899.75</v>
      </c>
      <c r="M22" s="10">
        <f>IFERROR(IF(I22=0,0,(G22-I22)/G22),0)</f>
      </c>
      <c r="N22" s="6">
        <f>VLOOKUP(E22,'Additional data'!$B$5:$C$16,2,FALSE)</f>
      </c>
      <c r="O22" s="6">
        <f>(F22+H22)*N22</f>
      </c>
    </row>
    <row r="23" x14ac:dyDescent="0.35">
      <c r="B23" t="s">
        <v>27</v>
      </c>
      <c r="C23" t="s">
        <v>21</v>
      </c>
      <c r="D23" t="s">
        <v>22</v>
      </c>
      <c r="E23" t="s">
        <v>23</v>
      </c>
      <c r="F23">
        <v>14</v>
      </c>
      <c r="G23" s="6">
        <v>699.99</v>
      </c>
      <c r="H23">
        <v>0</v>
      </c>
      <c r="I23" s="6"/>
      <c r="J23" s="6">
        <f t="shared" si="1"/>
        <v>9799.86</v>
      </c>
      <c r="K23" s="6">
        <f t="shared" si="2"/>
        <v>0</v>
      </c>
      <c r="L23" s="6">
        <f t="shared" si="4"/>
        <v>9799.86</v>
      </c>
      <c r="M23" s="10">
        <f>IFERROR(IF(I23=0,0,(G23-I23)/G23),0)</f>
      </c>
      <c r="N23" s="6">
        <f>VLOOKUP(E23,'Additional data'!$B$5:$C$16,2,FALSE)</f>
      </c>
      <c r="O23" s="6">
        <f>(F23+H23)*N23</f>
      </c>
    </row>
    <row r="24" x14ac:dyDescent="0.35">
      <c r="B24" t="s">
        <v>27</v>
      </c>
      <c r="C24" t="s">
        <v>21</v>
      </c>
      <c r="D24" t="s">
        <v>22</v>
      </c>
      <c r="E24" t="s">
        <v>24</v>
      </c>
      <c r="F24">
        <v>11</v>
      </c>
      <c r="G24" s="6">
        <v>899.99</v>
      </c>
      <c r="H24">
        <v>4</v>
      </c>
      <c r="I24" s="6">
        <v>749.99</v>
      </c>
      <c r="J24" s="6">
        <f t="shared" si="1"/>
        <v>9899.89</v>
      </c>
      <c r="K24" s="6">
        <f t="shared" si="2"/>
        <v>2999.96</v>
      </c>
      <c r="L24" s="6">
        <f t="shared" si="4"/>
        <v>12899.849999999999</v>
      </c>
      <c r="M24" s="10">
        <f>IFERROR(IF(I24=0,0,(G24-I24)/G24),0)</f>
      </c>
      <c r="N24" s="6">
        <f>VLOOKUP(E24,'Additional data'!$B$5:$C$16,2,FALSE)</f>
      </c>
      <c r="O24" s="6">
        <f>(F24+H24)*N24</f>
      </c>
    </row>
    <row r="25" x14ac:dyDescent="0.35">
      <c r="B25" t="s">
        <v>27</v>
      </c>
      <c r="C25" t="s">
        <v>21</v>
      </c>
      <c r="D25" t="s">
        <v>22</v>
      </c>
      <c r="E25" t="s">
        <v>25</v>
      </c>
      <c r="F25">
        <v>15</v>
      </c>
      <c r="G25" s="6">
        <v>599.99</v>
      </c>
      <c r="H25">
        <v>4</v>
      </c>
      <c r="I25" s="6">
        <v>539.99</v>
      </c>
      <c r="J25" s="6">
        <f t="shared" si="1"/>
        <v>8999.85</v>
      </c>
      <c r="K25" s="6">
        <f t="shared" si="2"/>
        <v>2159.96</v>
      </c>
      <c r="L25" s="6">
        <f t="shared" si="4"/>
        <v>11159.810000000001</v>
      </c>
      <c r="M25" s="10">
        <f>IFERROR(IF(I25=0,0,(G25-I25)/G25),0)</f>
      </c>
      <c r="N25" s="6">
        <f>VLOOKUP(E25,'Additional data'!$B$5:$C$16,2,FALSE)</f>
      </c>
      <c r="O25" s="6">
        <f>(F25+H25)*N25</f>
      </c>
    </row>
    <row r="26" x14ac:dyDescent="0.35">
      <c r="B26" t="s">
        <v>28</v>
      </c>
      <c r="C26" t="s">
        <v>8</v>
      </c>
      <c r="D26" t="s">
        <v>9</v>
      </c>
      <c r="E26" t="s">
        <v>10</v>
      </c>
      <c r="F26">
        <v>14</v>
      </c>
      <c r="G26" s="6">
        <v>499.99</v>
      </c>
      <c r="H26">
        <v>0</v>
      </c>
      <c r="I26" s="6"/>
      <c r="J26" s="6">
        <f t="shared" si="1"/>
        <v>6999.8600000000006</v>
      </c>
      <c r="K26" s="6">
        <f t="shared" si="2"/>
        <v>0</v>
      </c>
      <c r="L26" s="6">
        <f t="shared" si="4"/>
        <v>6999.8600000000006</v>
      </c>
      <c r="M26" s="10">
        <f>IFERROR(IF(I26=0,0,(G26-I26)/G26),0)</f>
      </c>
      <c r="N26" s="6">
        <f>VLOOKUP(E26,'Additional data'!$B$5:$C$16,2,FALSE)</f>
      </c>
      <c r="O26" s="6">
        <f>(F26+H26)*N26</f>
      </c>
    </row>
    <row r="27" x14ac:dyDescent="0.35">
      <c r="B27" t="s">
        <v>28</v>
      </c>
      <c r="C27" t="s">
        <v>8</v>
      </c>
      <c r="D27" t="s">
        <v>9</v>
      </c>
      <c r="E27" t="s">
        <v>29</v>
      </c>
      <c r="F27">
        <v>3</v>
      </c>
      <c r="G27" s="6">
        <v>1099.99</v>
      </c>
      <c r="H27">
        <v>1</v>
      </c>
      <c r="I27" s="6">
        <v>999.99</v>
      </c>
      <c r="J27" s="6">
        <f t="shared" si="1"/>
        <v>3299.9700000000003</v>
      </c>
      <c r="K27" s="6">
        <f t="shared" si="2"/>
        <v>999.99</v>
      </c>
      <c r="L27" s="6">
        <f t="shared" si="4"/>
        <v>4299.96</v>
      </c>
      <c r="M27" s="10">
        <f>IFERROR(IF(I27=0,0,(G27-I27)/G27),0)</f>
      </c>
      <c r="N27" s="6">
        <f>VLOOKUP(E27,'Additional data'!$B$5:$C$16,2,FALSE)</f>
      </c>
      <c r="O27" s="6">
        <f>(F27+H27)*N27</f>
      </c>
    </row>
    <row r="28" x14ac:dyDescent="0.35">
      <c r="B28" t="s">
        <v>28</v>
      </c>
      <c r="C28" t="s">
        <v>8</v>
      </c>
      <c r="D28" t="s">
        <v>15</v>
      </c>
      <c r="E28" t="s">
        <v>16</v>
      </c>
      <c r="F28">
        <v>7</v>
      </c>
      <c r="G28" s="6">
        <v>99.99</v>
      </c>
      <c r="H28">
        <v>0</v>
      </c>
      <c r="I28" s="6"/>
      <c r="J28" s="6">
        <f t="shared" si="1"/>
        <v>699.93</v>
      </c>
      <c r="K28" s="6">
        <f t="shared" si="2"/>
        <v>0</v>
      </c>
      <c r="L28" s="6">
        <f t="shared" si="4"/>
        <v>699.93</v>
      </c>
      <c r="M28" s="10">
        <f>IFERROR(IF(I28=0,0,(G28-I28)/G28),0)</f>
      </c>
      <c r="N28" s="6">
        <f>VLOOKUP(E28,'Additional data'!$B$5:$C$16,2,FALSE)</f>
      </c>
      <c r="O28" s="6">
        <f>(F28+H28)*N28</f>
      </c>
    </row>
    <row r="29" x14ac:dyDescent="0.35">
      <c r="B29" t="s">
        <v>28</v>
      </c>
      <c r="C29" t="s">
        <v>8</v>
      </c>
      <c r="D29" t="s">
        <v>15</v>
      </c>
      <c r="E29" t="s">
        <v>17</v>
      </c>
      <c r="F29">
        <v>3</v>
      </c>
      <c r="G29" s="6">
        <v>99.99</v>
      </c>
      <c r="H29">
        <v>6</v>
      </c>
      <c r="I29" s="6">
        <v>79.989999999999995</v>
      </c>
      <c r="J29" s="6">
        <f t="shared" si="1"/>
        <v>299.96999999999997</v>
      </c>
      <c r="K29" s="6">
        <f t="shared" si="2"/>
        <v>479.93999999999994</v>
      </c>
      <c r="L29" s="6">
        <f t="shared" si="4"/>
        <v>779.90999999999985</v>
      </c>
      <c r="M29" s="10">
        <f>IFERROR(IF(I29=0,0,(G29-I29)/G29),0)</f>
      </c>
      <c r="N29" s="6">
        <f>VLOOKUP(E29,'Additional data'!$B$5:$C$16,2,FALSE)</f>
      </c>
      <c r="O29" s="6">
        <f>(F29+H29)*N29</f>
      </c>
    </row>
    <row r="30" x14ac:dyDescent="0.35">
      <c r="B30" t="s">
        <v>28</v>
      </c>
      <c r="C30" t="s">
        <v>8</v>
      </c>
      <c r="D30" t="s">
        <v>18</v>
      </c>
      <c r="E30" t="s">
        <v>19</v>
      </c>
      <c r="F30">
        <v>4</v>
      </c>
      <c r="G30" s="6">
        <v>299.99</v>
      </c>
      <c r="H30">
        <v>0</v>
      </c>
      <c r="I30" s="6"/>
      <c r="J30" s="6">
        <f t="shared" si="1"/>
        <v>1199.96</v>
      </c>
      <c r="K30" s="6">
        <f t="shared" si="2"/>
        <v>0</v>
      </c>
      <c r="L30" s="6">
        <f t="shared" si="4"/>
        <v>1199.96</v>
      </c>
      <c r="M30" s="10">
        <f>IFERROR(IF(I30=0,0,(G30-I30)/G30),0)</f>
      </c>
      <c r="N30" s="6">
        <f>VLOOKUP(E30,'Additional data'!$B$5:$C$16,2,FALSE)</f>
      </c>
      <c r="O30" s="6">
        <f>(F30+H30)*N30</f>
      </c>
    </row>
    <row r="31" x14ac:dyDescent="0.35">
      <c r="B31" t="s">
        <v>28</v>
      </c>
      <c r="C31" t="s">
        <v>8</v>
      </c>
      <c r="D31" t="s">
        <v>18</v>
      </c>
      <c r="E31" t="s">
        <v>20</v>
      </c>
      <c r="F31">
        <v>0</v>
      </c>
      <c r="G31" s="6"/>
      <c r="H31">
        <v>2</v>
      </c>
      <c r="I31" s="6">
        <v>199.99</v>
      </c>
      <c r="J31" s="6">
        <f t="shared" si="1"/>
        <v>0</v>
      </c>
      <c r="K31" s="6">
        <f t="shared" si="2"/>
        <v>399.98</v>
      </c>
      <c r="L31" s="6">
        <f t="shared" si="4"/>
        <v>399.98</v>
      </c>
      <c r="M31" s="10">
        <f>IFERROR(IF(I31=0,0,(G31-I31)/G31),0)</f>
      </c>
      <c r="N31" s="6">
        <f>VLOOKUP(E31,'Additional data'!$B$5:$C$16,2,FALSE)</f>
      </c>
      <c r="O31" s="6">
        <f>(F31+H31)*N31</f>
      </c>
    </row>
    <row r="32" x14ac:dyDescent="0.35">
      <c r="B32" t="s">
        <v>28</v>
      </c>
      <c r="C32" t="s">
        <v>21</v>
      </c>
      <c r="D32" t="s">
        <v>22</v>
      </c>
      <c r="E32" t="s">
        <v>23</v>
      </c>
      <c r="F32">
        <v>18</v>
      </c>
      <c r="G32" s="6">
        <v>699.99</v>
      </c>
      <c r="H32">
        <v>11</v>
      </c>
      <c r="I32" s="6">
        <v>599.99</v>
      </c>
      <c r="J32" s="6">
        <f t="shared" si="1"/>
        <v>12599.82</v>
      </c>
      <c r="K32" s="6">
        <f t="shared" si="2"/>
        <v>6599.89</v>
      </c>
      <c r="L32" s="6">
        <f t="shared" si="4"/>
        <v>19199.71</v>
      </c>
      <c r="M32" s="10">
        <f>IFERROR(IF(I32=0,0,(G32-I32)/G32),0)</f>
      </c>
      <c r="N32" s="6">
        <f>VLOOKUP(E32,'Additional data'!$B$5:$C$16,2,FALSE)</f>
      </c>
      <c r="O32" s="6">
        <f>(F32+H32)*N32</f>
      </c>
    </row>
    <row r="33" x14ac:dyDescent="0.35">
      <c r="B33" t="s">
        <v>28</v>
      </c>
      <c r="C33" t="s">
        <v>21</v>
      </c>
      <c r="D33" t="s">
        <v>22</v>
      </c>
      <c r="E33" t="s">
        <v>24</v>
      </c>
      <c r="F33">
        <v>16</v>
      </c>
      <c r="G33" s="6">
        <v>899.99</v>
      </c>
      <c r="H33">
        <v>12</v>
      </c>
      <c r="I33" s="6">
        <v>799.99</v>
      </c>
      <c r="J33" s="6">
        <f t="shared" si="1"/>
        <v>14399.84</v>
      </c>
      <c r="K33" s="6">
        <f t="shared" si="2"/>
        <v>9599.880000000001</v>
      </c>
      <c r="L33" s="6">
        <f t="shared" si="4"/>
        <v>23999.72</v>
      </c>
      <c r="M33" s="10">
        <f>IFERROR(IF(I33=0,0,(G33-I33)/G33),0)</f>
      </c>
      <c r="N33" s="6">
        <f>VLOOKUP(E33,'Additional data'!$B$5:$C$16,2,FALSE)</f>
      </c>
      <c r="O33" s="6">
        <f>(F33+H33)*N33</f>
      </c>
    </row>
    <row r="34" x14ac:dyDescent="0.35">
      <c r="B34" t="s">
        <v>28</v>
      </c>
      <c r="C34" t="s">
        <v>21</v>
      </c>
      <c r="D34" t="s">
        <v>22</v>
      </c>
      <c r="E34" t="s">
        <v>25</v>
      </c>
      <c r="F34">
        <v>26</v>
      </c>
      <c r="G34" s="6">
        <v>599.99</v>
      </c>
      <c r="H34">
        <v>13</v>
      </c>
      <c r="I34" s="6">
        <v>499.99</v>
      </c>
      <c r="J34" s="6">
        <f t="shared" si="1"/>
        <v>15599.74</v>
      </c>
      <c r="K34" s="6">
        <f t="shared" si="2"/>
        <v>6499.87</v>
      </c>
      <c r="L34" s="6">
        <f t="shared" si="4"/>
        <v>22099.61</v>
      </c>
      <c r="M34" s="10">
        <f>IFERROR(IF(I34=0,0,(G34-I34)/G34),0)</f>
      </c>
      <c r="N34" s="6">
        <f>VLOOKUP(E34,'Additional data'!$B$5:$C$16,2,FALSE)</f>
      </c>
      <c r="O34" s="6">
        <f>(F34+H34)*N34</f>
      </c>
    </row>
    <row r="35" x14ac:dyDescent="0.35">
      <c r="B35" t="s">
        <v>28</v>
      </c>
      <c r="C35" t="s">
        <v>21</v>
      </c>
      <c r="D35" t="s">
        <v>22</v>
      </c>
      <c r="E35" t="s">
        <v>26</v>
      </c>
      <c r="F35">
        <v>5</v>
      </c>
      <c r="G35" s="6">
        <v>3999.99</v>
      </c>
      <c r="H35">
        <v>2</v>
      </c>
      <c r="I35" s="6">
        <v>3799.99</v>
      </c>
      <c r="J35" s="6">
        <f t="shared" si="1"/>
        <v>19999.949999999997</v>
      </c>
      <c r="K35" s="6">
        <f t="shared" si="2"/>
        <v>7599.98</v>
      </c>
      <c r="L35" s="6">
        <f t="shared" si="4"/>
        <v>27599.929999999997</v>
      </c>
      <c r="M35" s="10">
        <f>IFERROR(IF(I35=0,0,(G35-I35)/G35),0)</f>
      </c>
      <c r="N35" s="6">
        <f>VLOOKUP(E35,'Additional data'!$B$5:$C$16,2,FALSE)</f>
      </c>
      <c r="O35" s="6">
        <f>(F35+H35)*N35</f>
      </c>
    </row>
    <row r="36" spans="2:13" x14ac:dyDescent="0.35">
      <c r="G36" s="6"/>
      <c r="J36" s="6"/>
    </row>
    <row r="37" spans="2:13" x14ac:dyDescent="0.35">
      <c r="G37" s="8"/>
      <c r="J37" s="6"/>
    </row>
  </sheetData>
  <autoFilter ref="B4:I35" xr:uid="{00000000-0009-0000-0000-000002000000}"/>
  <conditionalFormatting sqref="M10:M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3">
    <dataValidation type="whole" operator="greaterThanOrEqual" allowBlank="1" showInputMessage="1" showErrorMessage="1" sqref="F5:F1048576 H5:H1048576" xr:uid="{00000000-0002-0000-0200-000000000000}">
      <formula1>0</formula1>
    </dataValidation>
    <dataValidation type="decimal" operator="greaterThanOrEqual" allowBlank="1" showInputMessage="1" showErrorMessage="1" sqref="K36:K1048576 G5:G1048576 K5:L35 I5:J1048576" xr:uid="{00000000-0002-0000-0200-000002000000}">
      <formula1>0</formula1>
    </dataValidation>
    <dataValidation type="list" allowBlank="1" showInputMessage="1" showErrorMessage="1" sqref="B5:B1048576" xr:uid="{00000000-0002-0000-0200-000003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B1B2-DD62-4D39-B4A0-9C98AF5EDEFA}">
  <dimension ref="B2:E8"/>
  <sheetViews>
    <sheetView workbookViewId="0">
      <selection activeCell="G10" sqref="G10"/>
    </sheetView>
  </sheetViews>
  <sheetFormatPr defaultRowHeight="14.5" x14ac:dyDescent="0.35"/>
  <cols>
    <col min="2" max="2" width="10" bestFit="1" customWidth="1"/>
    <col min="3" max="5" width="12.54296875" bestFit="1" customWidth="1"/>
  </cols>
  <sheetData>
    <row r="2" spans="2:5" x14ac:dyDescent="0.35">
      <c r="C2" t="s">
        <v>2</v>
      </c>
      <c r="D2" t="s">
        <v>27</v>
      </c>
      <c r="E2" t="s">
        <v>28</v>
      </c>
    </row>
    <row r="3" spans="2:5" x14ac:dyDescent="0.35">
      <c r="B3" t="inlineStr">
        <is>
          <t>Revenue</t>
        </is>
      </c>
      <c r="C3" s="9">
        <f>SUMIF('Sales data - transf.+validated'!$B$5:$B$35,results!C$2,'Sales data - transf.+validated'!$L$5:$L$35)</f>
        <v>190855.47000000003</v>
      </c>
      <c r="D3" s="9">
        <f>SUMIF('Sales data - transf.+validated'!$B$5:$B$35,results!D$2,'Sales data - transf.+validated'!$L$5:$L$35)</f>
        <v>125626.37999999998</v>
      </c>
      <c r="E3" s="9">
        <f>SUMIF('Sales data - transf.+validated'!$B$5:$B$35,results!E$2,'Sales data - transf.+validated'!$L$5:$L$35)</f>
        <v>107278.56999999999</v>
      </c>
    </row>
    <row r="4" spans="2:5" x14ac:dyDescent="0.35">
      <c r="B4" t="inlineStr">
        <is>
          <t>Original price revenue</t>
        </is>
      </c>
      <c r="C4" s="9">
        <f>SUMIF('Sales data - transf.+validated'!$B$5:$B$35,results!C$2,'Sales data - transf.+validated'!$J$5:$J$35)</f>
        <v>145796.51</v>
      </c>
      <c r="D4" s="9">
        <f>SUMIF('Sales data - transf.+validated'!$B$5:$B$35,results!D$2,'Sales data - transf.+validated'!$J$5:$J$35)</f>
        <v>101072.19</v>
      </c>
      <c r="E4" s="9">
        <f>SUMIF('Sales data - transf.+validated'!$B$5:$B$35,results!E$2,'Sales data - transf.+validated'!$J$5:$J$35)</f>
        <v>75099.040000000008</v>
      </c>
    </row>
    <row r="5" spans="2:5" x14ac:dyDescent="0.35">
      <c r="B5" t="inlineStr">
        <is>
          <t>Reduced price revenue</t>
        </is>
      </c>
      <c r="C5" s="9">
        <f>SUMIF('Sales data - transf.+validated'!$B$5:$B$35,results!C$2,'Sales data - transf.+validated'!$K$5:$K$35)</f>
        <v>45058.96</v>
      </c>
      <c r="D5" s="9">
        <f>SUMIF('Sales data - transf.+validated'!$B$5:$B$35,results!D$2,'Sales data - transf.+validated'!$K$5:$K$35)</f>
        <v>24554.19</v>
      </c>
      <c r="E5" s="9">
        <f>SUMIF('Sales data - transf.+validated'!$B$5:$B$35,results!E$2,'Sales data - transf.+validated'!$K$5:$K$35)</f>
        <v>32179.53</v>
      </c>
    </row>
    <row r="7" spans="2:5" x14ac:dyDescent="0.35">
      <c r="B7"/>
    </row>
    <row r="8" spans="2:5" x14ac:dyDescent="0.35">
      <c r="B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3E6D-4115-4080-AD01-798B16F6574C}">
  <dimension ref="C4:J23"/>
  <sheetViews>
    <sheetView tabSelected="1" topLeftCell="B2" zoomScale="61" workbookViewId="0">
      <selection activeCell="L27" sqref="L27"/>
    </sheetView>
  </sheetViews>
  <sheetFormatPr defaultRowHeight="14.5" x14ac:dyDescent="0.35"/>
  <cols>
    <col min="3" max="3" width="10.81640625" bestFit="1" customWidth="1"/>
    <col min="4" max="4" width="9.1796875" bestFit="1" customWidth="1"/>
    <col min="5" max="5" width="17" bestFit="1" customWidth="1"/>
    <col min="6" max="6" width="19.26953125" bestFit="1" customWidth="1"/>
    <col min="7" max="7" width="20" bestFit="1" customWidth="1"/>
    <col min="8" max="8" width="13.1796875" bestFit="1" customWidth="1"/>
    <col min="9" max="9" width="22.54296875" bestFit="1" customWidth="1"/>
    <col min="10" max="10" width="37.36328125" bestFit="1" customWidth="1"/>
  </cols>
  <sheetData>
    <row r="4" spans="3:10" x14ac:dyDescent="0.35">
      <c r="C4" s="2" t="s">
        <v>32</v>
      </c>
      <c r="D4" s="2" t="s">
        <v>33</v>
      </c>
      <c r="E4" s="2" t="s">
        <v>48</v>
      </c>
      <c r="F4" s="2" t="s">
        <v>49</v>
      </c>
      <c r="G4" s="2" t="s">
        <v>50</v>
      </c>
      <c r="H4" s="2" t="s">
        <v>55</v>
      </c>
      <c r="I4" s="2" t="s">
        <v>56</v>
      </c>
      <c r="J4" s="2" t="s">
        <v>62</v>
      </c>
    </row>
    <row r="5" spans="3:10" x14ac:dyDescent="0.35">
      <c r="C5" t="s">
        <v>51</v>
      </c>
      <c r="D5" t="s">
        <v>52</v>
      </c>
      <c r="E5" s="13">
        <f>F5+G5</f>
        <v>423760.4200000001</v>
      </c>
      <c r="F5" s="21">
        <f>SUM('Sales data - transf.+validated'!$J5:$J35)</f>
        <v>321967.74000000011</v>
      </c>
      <c r="G5" s="12">
        <f>SUM('Sales data - transf.+validated'!K5:K35)</f>
        <v>101792.68000000001</v>
      </c>
      <c r="H5" s="6">
        <f>SUMIFS('Sales data - transf.+validated'!$O$5:$O$35,'Sales data - transf.+validated'!$B$5:$B$35,IF($C5="All locations","*",$C5),'Sales data - transf.+validated'!$C$5:$C$35,IF($D5="All season","*",$D5))</f>
      </c>
      <c r="I5" s="9">
        <f>E5-H5</f>
        <v>176100.4200000001</v>
      </c>
      <c r="J5" s="9">
        <f>I5/IF($C5="All locations",SUM('Additional data'!$F$5:$F$7),VLOOKUP('result II'!$C5,'Additional data'!$E$5:$F$7,2,FALSE))</f>
        <v>506.76379856115136</v>
      </c>
    </row>
    <row r="6" spans="3:10" x14ac:dyDescent="0.35">
      <c r="C6" t="s">
        <v>51</v>
      </c>
      <c r="D6" t="s">
        <v>8</v>
      </c>
      <c r="E6" s="13">
        <f t="shared" ref="E6:E8" si="0">F6+G6</f>
        <v>209803.02000000008</v>
      </c>
      <c r="F6" s="14">
        <f>SUMIF('Sales data - transf.+validated'!$C$5:$C$35,'result II'!$D6,'Sales data - transf.+validated'!J$5:J$35)</f>
        <v>170269.47000000006</v>
      </c>
      <c r="G6" s="14">
        <f>SUMIF('Sales data - transf.+validated'!$C$5:$C$35,$D6,'Sales data - transf.+validated'!K$5:K$35)</f>
      </c>
      <c r="H6" s="6">
        <f>SUMIFS('Sales data - transf.+validated'!$O$5:$O$35,'Sales data - transf.+validated'!$B$5:$B$35,IF($C6="All locations","*",$C6),'Sales data - transf.+validated'!$C$5:$C$35,IF($D6="All season","*",$D6))</f>
      </c>
      <c r="I6" s="9">
        <f t="shared" ref="I6:I16" si="1">E6-H6</f>
        <v>90893.020000000077</v>
      </c>
      <c r="J6" s="9">
        <f>I6/IF($C6="All locations",SUM('Additional data'!$F$5:$F$7),VLOOKUP('result II'!$C6,'Additional data'!$E$5:$F$7,2,FALSE))</f>
        <v>261.5626474820146</v>
      </c>
    </row>
    <row r="7" spans="3:10" x14ac:dyDescent="0.35">
      <c r="C7" t="s">
        <v>51</v>
      </c>
      <c r="D7" t="s">
        <v>21</v>
      </c>
      <c r="E7" s="13">
        <f t="shared" si="0"/>
        <v>213957.39999999997</v>
      </c>
      <c r="F7" s="14">
        <f>SUMIF('Sales data - transf.+validated'!$C$5:$C$35,'result II'!$D7,'Sales data - transf.+validated'!J$5:J$35)</f>
        <v>151698.26999999996</v>
      </c>
      <c r="G7" s="12">
        <f>SUMIF('Sales data - transf.+validated'!$C$5:$C$35,$D7,'Sales data - transf.+validated'!K$5:K$35)</f>
      </c>
      <c r="H7" s="6">
        <f>SUMIFS('Sales data - transf.+validated'!$O$5:$O$35,'Sales data - transf.+validated'!$B$5:$B$35,IF($C7="All locations","*",$C7),'Sales data - transf.+validated'!$C$5:$C$35,IF($D7="All season","*",$D7))</f>
      </c>
      <c r="I7" s="9">
        <f t="shared" si="1"/>
        <v>85207.399999999965</v>
      </c>
      <c r="J7" s="9">
        <f>I7/IF($C7="All locations",SUM('Additional data'!$F$5:$F$7),VLOOKUP('result II'!$C7,'Additional data'!$E$5:$F$7,2,FALSE))</f>
        <v>245.20115107913659</v>
      </c>
    </row>
    <row r="8" spans="3:10" x14ac:dyDescent="0.35">
      <c r="C8" t="s">
        <v>2</v>
      </c>
      <c r="D8" t="s">
        <v>52</v>
      </c>
      <c r="E8" s="13">
        <f t="shared" si="0"/>
        <v>190855.47</v>
      </c>
      <c r="F8" s="14">
        <f>SUMIF('Sales data - transf.+validated'!$B$5:$B$35,'result II'!$C8,'Sales data - transf.+validated'!J$5:J$35)</f>
        <v>145796.51</v>
      </c>
      <c r="G8" s="14">
        <f>SUMIF('Sales data - transf.+validated'!$B$5:$B$35,'result II'!$C8,'Sales data - transf.+validated'!K$5:K$35)</f>
        <v>45058.96</v>
      </c>
      <c r="H8" s="6">
        <f>SUMIFS('Sales data - transf.+validated'!$O$5:$O$35,'Sales data - transf.+validated'!$B$5:$B$35,IF($C8="All locations","*",$C8),'Sales data - transf.+validated'!$C$5:$C$35,IF($D8="All season","*",$D8))</f>
      </c>
      <c r="I8" s="9">
        <f t="shared" si="1"/>
        <v>78645.47</v>
      </c>
      <c r="J8" s="9">
        <f>I8/IF($C8="All locations",SUM('Additional data'!$F$5:$F$7),VLOOKUP('result II'!$C8,'Additional data'!$E$5:$F$7,2,FALSE))</f>
        <v>604.96515384615384</v>
      </c>
    </row>
    <row r="9" spans="3:10" x14ac:dyDescent="0.35">
      <c r="C9" t="s">
        <v>2</v>
      </c>
      <c r="D9" t="s">
        <v>8</v>
      </c>
      <c r="E9" s="14">
        <f>F9+G9</f>
        <v>103656.56</v>
      </c>
      <c r="F9" s="14">
        <f>SUMIFS('Sales data - transf.+validated'!J$5:J$35,'Sales data - transf.+validated'!$B$5:$B$35,'result II'!$C9,'Sales data - transf.+validated'!$C$5:$C$35,'result II'!$D9)</f>
        <v>85397.19</v>
      </c>
      <c r="G9" s="14">
        <f>SUMIFS('Sales data - transf.+validated'!K$5:K$35,'Sales data - transf.+validated'!$B$5:$B$35,'result II'!$C9,'Sales data - transf.+validated'!$C$5:$C$35,'result II'!$D9)</f>
        <v>18259.369999999995</v>
      </c>
      <c r="H9" s="6">
        <f>SUMIFS('Sales data - transf.+validated'!$O$5:$O$35,'Sales data - transf.+validated'!$B$5:$B$35,IF($C9="All locations","*",$C9),'Sales data - transf.+validated'!$C$5:$C$35,IF($D9="All season","*",$D9))</f>
      </c>
      <c r="I9" s="9">
        <f t="shared" si="1"/>
        <v>45846.559999999998</v>
      </c>
      <c r="J9" s="9">
        <f>I9/IF($C9="All locations",SUM('Additional data'!$F$5:$F$7),VLOOKUP('result II'!$C9,'Additional data'!$E$5:$F$7,2,FALSE))</f>
        <v>352.66584615384613</v>
      </c>
    </row>
    <row r="10" spans="3:10" x14ac:dyDescent="0.35">
      <c r="C10" t="s">
        <v>2</v>
      </c>
      <c r="D10" t="s">
        <v>21</v>
      </c>
      <c r="E10" s="14">
        <f>F10+G10</f>
        <v>87198.91</v>
      </c>
      <c r="F10" s="14">
        <f>SUMIFS('Sales data - transf.+validated'!J$5:J$35,'Sales data - transf.+validated'!$B$5:$B$35,'result II'!$C10,'Sales data - transf.+validated'!$C$5:$C$35,'result II'!$D10)</f>
        <v>60399.32</v>
      </c>
      <c r="G10" s="14">
        <f>SUMIFS('Sales data - transf.+validated'!K$5:K$35,'Sales data - transf.+validated'!$B$5:$B$35,'result II'!$C10,'Sales data - transf.+validated'!$C$5:$C$35,'result II'!$D10)</f>
        <v>26799.589999999997</v>
      </c>
      <c r="H10" s="6">
        <f>SUMIFS('Sales data - transf.+validated'!$O$5:$O$35,'Sales data - transf.+validated'!$B$5:$B$35,IF($C10="All locations","*",$C10),'Sales data - transf.+validated'!$C$5:$C$35,IF($D10="All season","*",$D10))</f>
      </c>
      <c r="I10" s="9">
        <f t="shared" si="1"/>
        <v>32798.910000000003</v>
      </c>
      <c r="J10" s="9">
        <f>I10/IF($C10="All locations",SUM('Additional data'!$F$5:$F$7),VLOOKUP('result II'!$C10,'Additional data'!$E$5:$F$7,2,FALSE))</f>
        <v>252.29930769230771</v>
      </c>
    </row>
    <row r="11" spans="3:10" x14ac:dyDescent="0.35">
      <c r="C11" t="s">
        <v>27</v>
      </c>
      <c r="D11" t="s">
        <v>52</v>
      </c>
      <c r="E11" s="14">
        <f>F11+G11</f>
        <v>125626.38</v>
      </c>
      <c r="F11" s="14">
        <f>SUMIF('Sales data - transf.+validated'!$B$5:$B$35,'result II'!$C$11,'Sales data - transf.+validated'!J$5:J$35)</f>
        <v>101072.19</v>
      </c>
      <c r="G11" s="14">
        <f>SUMIF('Sales data - transf.+validated'!$B$5:$B$35,'result II'!$C$11,'Sales data - transf.+validated'!K$5:K$35)</f>
        <v>24554.19</v>
      </c>
      <c r="H11" s="6">
        <f>SUMIFS('Sales data - transf.+validated'!$O$5:$O$35,'Sales data - transf.+validated'!$B$5:$B$35,IF($C11="All locations","*",$C11),'Sales data - transf.+validated'!$C$5:$C$35,IF($D11="All season","*",$D11))</f>
      </c>
      <c r="I11" s="9">
        <f t="shared" si="1"/>
        <v>53526.380000000005</v>
      </c>
      <c r="J11" s="9">
        <f>I11/IF($C11="All locations",SUM('Additional data'!$F$5:$F$7),VLOOKUP('result II'!$C11,'Additional data'!$E$5:$F$7,2,FALSE))</f>
        <v>557.56645833333334</v>
      </c>
    </row>
    <row r="12" spans="3:10" x14ac:dyDescent="0.35">
      <c r="C12" t="s">
        <v>27</v>
      </c>
      <c r="D12" t="s">
        <v>8</v>
      </c>
      <c r="E12" s="14">
        <f t="shared" ref="E12:E16" si="2">F12+G12</f>
        <v>91766.86</v>
      </c>
      <c r="F12" s="14">
        <f>SUMIFS('Sales data - transf.+validated'!J$5:J$35,'Sales data - transf.+validated'!$B$5:$B$35,'result II'!$C12,'Sales data - transf.+validated'!$C$5:$C$35,'result II'!$D12)</f>
        <v>72372.59</v>
      </c>
      <c r="G12" s="14">
        <f>SUMIFS('Sales data - transf.+validated'!K$5:K$35,'Sales data - transf.+validated'!$B$5:$B$35,'result II'!$C12,'Sales data - transf.+validated'!$C$5:$C$35,'result II'!$D12)</f>
        <v>19394.27</v>
      </c>
      <c r="H12" s="6">
        <f>SUMIFS('Sales data - transf.+validated'!$O$5:$O$35,'Sales data - transf.+validated'!$B$5:$B$35,IF($C12="All locations","*",$C12),'Sales data - transf.+validated'!$C$5:$C$35,IF($D12="All season","*",$D12))</f>
      </c>
      <c r="I12" s="9">
        <f t="shared" si="1"/>
        <v>39116.86</v>
      </c>
      <c r="J12" s="9">
        <f>I12/IF($C12="All locations",SUM('Additional data'!$F$5:$F$7),VLOOKUP('result II'!$C12,'Additional data'!$E$5:$F$7,2,FALSE))</f>
        <v>407.46729166666665</v>
      </c>
    </row>
    <row r="13" spans="3:10" x14ac:dyDescent="0.35">
      <c r="C13" t="s">
        <v>27</v>
      </c>
      <c r="D13" t="s">
        <v>21</v>
      </c>
      <c r="E13" s="14">
        <f t="shared" si="2"/>
        <v>33859.519999999997</v>
      </c>
      <c r="F13" s="14">
        <f>SUMIFS('Sales data - transf.+validated'!J$5:J$35,'Sales data - transf.+validated'!$B$5:$B$35,'result II'!$C13,'Sales data - transf.+validated'!$C$5:$C$35,'result II'!$D13)</f>
        <v>28699.599999999999</v>
      </c>
      <c r="G13" s="14">
        <f>SUMIFS('Sales data - transf.+validated'!K$5:K$35,'Sales data - transf.+validated'!$B$5:$B$35,'result II'!$C13,'Sales data - transf.+validated'!$C$5:$C$35,'result II'!$D13)</f>
        <v>5159.92</v>
      </c>
      <c r="H13" s="6">
        <f>SUMIFS('Sales data - transf.+validated'!$O$5:$O$35,'Sales data - transf.+validated'!$B$5:$B$35,IF($C13="All locations","*",$C13),'Sales data - transf.+validated'!$C$5:$C$35,IF($D13="All season","*",$D13))</f>
      </c>
      <c r="I13" s="9">
        <f t="shared" si="1"/>
        <v>14409.519999999997</v>
      </c>
      <c r="J13" s="9">
        <f>I13/IF($C13="All locations",SUM('Additional data'!$F$5:$F$7),VLOOKUP('result II'!$C13,'Additional data'!$E$5:$F$7,2,FALSE))</f>
        <v>150.09916666666663</v>
      </c>
    </row>
    <row r="14" spans="3:10" x14ac:dyDescent="0.35">
      <c r="C14" t="s">
        <v>28</v>
      </c>
      <c r="D14" t="s">
        <v>52</v>
      </c>
      <c r="E14" s="14">
        <f t="shared" si="2"/>
        <v>107278.57</v>
      </c>
      <c r="F14" s="14">
        <f>SUMIF('Sales data - transf.+validated'!$B$5:$B$35,'result II'!$C14,'Sales data - transf.+validated'!J$5:J$35)</f>
        <v>75099.040000000008</v>
      </c>
      <c r="G14" s="14">
        <f>SUMIF('Sales data - transf.+validated'!$B$5:$B$35,'result II'!$C14,'Sales data - transf.+validated'!K$5:K$35)</f>
        <v>32179.53</v>
      </c>
      <c r="H14" s="6">
        <f>SUMIFS('Sales data - transf.+validated'!$O$5:$O$35,'Sales data - transf.+validated'!$B$5:$B$35,IF($C14="All locations","*",$C14),'Sales data - transf.+validated'!$C$5:$C$35,IF($D14="All season","*",$D14))</f>
      </c>
      <c r="I14" s="9">
        <f t="shared" si="1"/>
        <v>43928.570000000007</v>
      </c>
      <c r="J14" s="9">
        <f>I14/IF($C14="All locations",SUM('Additional data'!$F$5:$F$7),VLOOKUP('result II'!$C14,'Additional data'!$E$5:$F$7,2,FALSE))</f>
        <v>361.55201646090541</v>
      </c>
    </row>
    <row r="15" spans="3:10" x14ac:dyDescent="0.35">
      <c r="C15" t="s">
        <v>28</v>
      </c>
      <c r="D15" t="s">
        <v>8</v>
      </c>
      <c r="E15" s="14">
        <f t="shared" si="2"/>
        <v>14379.600000000002</v>
      </c>
      <c r="F15" s="14">
        <f>SUMIFS('Sales data - transf.+validated'!J$5:J$35,'Sales data - transf.+validated'!$B$5:$B$35,'result II'!$C15,'Sales data - transf.+validated'!$C$5:$C$35,'result II'!$D15)</f>
        <v>12499.690000000002</v>
      </c>
      <c r="G15" s="14">
        <f>SUMIFS('Sales data - transf.+validated'!K$5:K$35,'Sales data - transf.+validated'!$B$5:$B$35,'result II'!$C15,'Sales data - transf.+validated'!$C$5:$C$35,'result II'!$D15)</f>
        <v>1879.9099999999999</v>
      </c>
      <c r="H15" s="6">
        <f>SUMIFS('Sales data - transf.+validated'!$O$5:$O$35,'Sales data - transf.+validated'!$B$5:$B$35,IF($C15="All locations","*",$C15),'Sales data - transf.+validated'!$C$5:$C$35,IF($D15="All season","*",$D15))</f>
      </c>
      <c r="I15" s="9">
        <f t="shared" si="1"/>
        <v>5929.6000000000022</v>
      </c>
      <c r="J15" s="9">
        <f>I15/IF($C15="All locations",SUM('Additional data'!$F$5:$F$7),VLOOKUP('result II'!$C15,'Additional data'!$E$5:$F$7,2,FALSE))</f>
        <v>48.803292181069978</v>
      </c>
    </row>
    <row r="16" spans="3:10" x14ac:dyDescent="0.35">
      <c r="C16" t="s">
        <v>28</v>
      </c>
      <c r="D16" t="s">
        <v>21</v>
      </c>
      <c r="E16" s="14">
        <f t="shared" si="2"/>
        <v>92898.97</v>
      </c>
      <c r="F16" s="14">
        <f>SUMIFS('Sales data - transf.+validated'!J$5:J$35,'Sales data - transf.+validated'!$B$5:$B$35,'result II'!$C16,'Sales data - transf.+validated'!$C$5:$C$35,'result II'!$D16)</f>
        <v>62599.35</v>
      </c>
      <c r="G16" s="14">
        <f>SUMIFS('Sales data - transf.+validated'!K$5:K$35,'Sales data - transf.+validated'!$B$5:$B$35,'result II'!$C16,'Sales data - transf.+validated'!$C$5:$C$35,'result II'!$D16)</f>
        <v>30299.62</v>
      </c>
      <c r="H16" s="6">
        <f>SUMIFS('Sales data - transf.+validated'!$O$5:$O$35,'Sales data - transf.+validated'!$B$5:$B$35,IF($C16="All locations","*",$C16),'Sales data - transf.+validated'!$C$5:$C$35,IF($D16="All season","*",$D16))</f>
      </c>
      <c r="I16" s="9">
        <f t="shared" si="1"/>
        <v>37998.97</v>
      </c>
      <c r="J16" s="9">
        <f>I16/IF($C16="All locations",SUM('Additional data'!$F$5:$F$7),VLOOKUP('result II'!$C16,'Additional data'!$E$5:$F$7,2,FALSE))</f>
        <v>312.74872427983541</v>
      </c>
    </row>
    <row r="19" spans="3:7" x14ac:dyDescent="0.35">
      <c r="C19" s="2" t="s">
        <v>53</v>
      </c>
      <c r="D19" s="2"/>
      <c r="E19" s="2" t="s">
        <v>54</v>
      </c>
      <c r="F19" s="2" t="s">
        <v>8</v>
      </c>
      <c r="G19" s="2" t="s">
        <v>21</v>
      </c>
    </row>
    <row r="20" spans="3:7" x14ac:dyDescent="0.35">
      <c r="C20" t="s">
        <v>51</v>
      </c>
      <c r="E20" s="15">
        <f>COUNTA('Sales data - transf.+validated'!$B$5:$B$35)</f>
        <v>31</v>
      </c>
      <c r="F20" s="15">
        <f>COUNTIF('Sales data - transf.+validated'!$C$5:$C$35,'result II'!F$19)</f>
        <v>20</v>
      </c>
      <c r="G20" s="15">
        <f>COUNTIF('Sales data - transf.+validated'!$C$5:$C$35,'result II'!G$19)</f>
        <v>11</v>
      </c>
    </row>
    <row r="21" spans="3:7" x14ac:dyDescent="0.35">
      <c r="C21" t="s">
        <v>2</v>
      </c>
      <c r="E21" s="15">
        <f>COUNTIF('Sales data - transf.+validated'!$B$5:$B$35,'result II'!$C21)</f>
        <v>11</v>
      </c>
      <c r="F21" s="15">
        <f>COUNTIFS('Sales data - transf.+validated'!$B$5:$B$35,'result II'!$C21,'Sales data - transf.+validated'!$C$5:$C$35,'result II'!F$19)</f>
        <v>7</v>
      </c>
      <c r="G21" s="15">
        <f>COUNTIFS('Sales data - transf.+validated'!$B$5:$B$35,'result II'!$C21,'Sales data - transf.+validated'!$C$5:$C$35,'result II'!G$19)</f>
        <v>4</v>
      </c>
    </row>
    <row r="22" spans="3:7" x14ac:dyDescent="0.35">
      <c r="C22" t="s">
        <v>27</v>
      </c>
      <c r="E22" s="15">
        <f>COUNTIF('Sales data - transf.+validated'!$B$5:$B$35,'result II'!$C22)</f>
        <v>10</v>
      </c>
      <c r="F22" s="15">
        <f>COUNTIFS('Sales data - transf.+validated'!$B$5:$B$35,'result II'!$C22,'Sales data - transf.+validated'!$C$5:$C$35,'result II'!F$19)</f>
        <v>7</v>
      </c>
      <c r="G22" s="15">
        <f>COUNTIFS('Sales data - transf.+validated'!$B$5:$B$35,'result II'!$C22,'Sales data - transf.+validated'!$C$5:$C$35,'result II'!G$19)</f>
        <v>3</v>
      </c>
    </row>
    <row r="23" spans="3:7" x14ac:dyDescent="0.35">
      <c r="C23" t="s">
        <v>28</v>
      </c>
      <c r="E23" s="15">
        <f>COUNTIF('Sales data - transf.+validated'!$B$5:$B$35,'result II'!$C23)</f>
        <v>10</v>
      </c>
      <c r="F23" s="15">
        <f>COUNTIFS('Sales data - transf.+validated'!$B$5:$B$35,'result II'!$C23,'Sales data - transf.+validated'!$C$5:$C$35,'result II'!F$19)</f>
        <v>6</v>
      </c>
      <c r="G23" s="15">
        <f>COUNTIFS('Sales data - transf.+validated'!$B$5:$B$35,'result II'!$C23,'Sales data - transf.+validated'!$C$5:$C$35,'result II'!G$19)</f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DB97-D9DA-4223-83B7-D6F04EFB6248}">
  <dimension ref="A1:F16"/>
  <sheetViews>
    <sheetView workbookViewId="0">
      <selection activeCell="C5" sqref="C5"/>
    </sheetView>
  </sheetViews>
  <sheetFormatPr defaultRowHeight="14.5" x14ac:dyDescent="0.35"/>
  <cols>
    <col min="2" max="2" width="43.54296875" bestFit="1" customWidth="1"/>
    <col min="3" max="3" width="10.54296875" bestFit="1" customWidth="1"/>
    <col min="5" max="5" width="11.81640625" bestFit="1" customWidth="1"/>
    <col min="6" max="6" width="9.08984375" bestFit="1" customWidth="1"/>
  </cols>
  <sheetData>
    <row r="1" spans="1:6" x14ac:dyDescent="0.35">
      <c r="A1" s="1" t="s">
        <v>57</v>
      </c>
    </row>
    <row r="3" spans="1:6" ht="20" thickBot="1" x14ac:dyDescent="0.5">
      <c r="B3" s="4" t="s">
        <v>58</v>
      </c>
      <c r="C3" s="7"/>
      <c r="E3" s="4" t="s">
        <v>59</v>
      </c>
      <c r="F3" s="7"/>
    </row>
    <row r="4" spans="1:6" ht="15.5" thickTop="1" thickBot="1" x14ac:dyDescent="0.4">
      <c r="B4" s="5" t="s">
        <v>4</v>
      </c>
      <c r="C4" s="5" t="s">
        <v>60</v>
      </c>
      <c r="E4" s="5" t="s">
        <v>32</v>
      </c>
      <c r="F4" s="5" t="s">
        <v>61</v>
      </c>
    </row>
    <row r="5" spans="1:6" x14ac:dyDescent="0.35">
      <c r="B5" t="s">
        <v>10</v>
      </c>
      <c r="C5" s="6">
        <v>200</v>
      </c>
      <c r="E5" t="s">
        <v>2</v>
      </c>
      <c r="F5" s="20">
        <v>130</v>
      </c>
    </row>
    <row r="6" spans="1:6" x14ac:dyDescent="0.35">
      <c r="B6" t="s">
        <v>13</v>
      </c>
      <c r="C6" s="6">
        <v>170</v>
      </c>
      <c r="E6" t="s">
        <v>27</v>
      </c>
      <c r="F6" s="20">
        <v>96</v>
      </c>
    </row>
    <row r="7" spans="1:6" x14ac:dyDescent="0.35">
      <c r="B7" t="s">
        <v>14</v>
      </c>
      <c r="C7" s="6">
        <v>300</v>
      </c>
      <c r="E7" t="s">
        <v>28</v>
      </c>
      <c r="F7" s="20">
        <v>121.5</v>
      </c>
    </row>
    <row r="8" spans="1:6" x14ac:dyDescent="0.35">
      <c r="B8" t="s">
        <v>16</v>
      </c>
      <c r="C8" s="6">
        <v>140</v>
      </c>
      <c r="F8" s="6"/>
    </row>
    <row r="9" spans="1:6" x14ac:dyDescent="0.35">
      <c r="B9" t="s">
        <v>17</v>
      </c>
      <c r="C9" s="6">
        <v>130</v>
      </c>
      <c r="F9" s="6"/>
    </row>
    <row r="10" spans="1:6" x14ac:dyDescent="0.35">
      <c r="B10" t="s">
        <v>19</v>
      </c>
      <c r="C10" s="6">
        <v>120</v>
      </c>
      <c r="F10" s="6"/>
    </row>
    <row r="11" spans="1:6" x14ac:dyDescent="0.35">
      <c r="B11" t="s">
        <v>20</v>
      </c>
      <c r="C11" s="6">
        <v>110</v>
      </c>
      <c r="F11" s="6"/>
    </row>
    <row r="12" spans="1:6" x14ac:dyDescent="0.35">
      <c r="B12" t="s">
        <v>23</v>
      </c>
      <c r="C12" s="6">
        <v>500</v>
      </c>
      <c r="F12" s="6"/>
    </row>
    <row r="13" spans="1:6" x14ac:dyDescent="0.35">
      <c r="B13" t="s">
        <v>24</v>
      </c>
      <c r="C13" s="6">
        <v>450</v>
      </c>
      <c r="F13" s="6"/>
    </row>
    <row r="14" spans="1:6" x14ac:dyDescent="0.35">
      <c r="B14" t="s">
        <v>25</v>
      </c>
      <c r="C14" s="6">
        <v>300</v>
      </c>
      <c r="F14" s="6"/>
    </row>
    <row r="15" spans="1:6" x14ac:dyDescent="0.35">
      <c r="B15" t="s">
        <v>26</v>
      </c>
      <c r="C15" s="6">
        <v>2300</v>
      </c>
      <c r="F15" s="6"/>
    </row>
    <row r="16" spans="1:6" x14ac:dyDescent="0.35">
      <c r="B16" t="s">
        <v>29</v>
      </c>
      <c r="C16" s="6">
        <v>700</v>
      </c>
      <c r="F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Sheet</vt:lpstr>
      <vt:lpstr>Sales data</vt:lpstr>
      <vt:lpstr>Sales data - transf.+validated</vt:lpstr>
      <vt:lpstr>results</vt:lpstr>
      <vt:lpstr>result II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Plattfaut</dc:creator>
  <cp:lastModifiedBy>Imam Hossain</cp:lastModifiedBy>
  <dcterms:created xsi:type="dcterms:W3CDTF">2019-04-15T09:13:20Z</dcterms:created>
  <dcterms:modified xsi:type="dcterms:W3CDTF">2026-05-14T21:43:11Z</dcterms:modified>
</cp:coreProperties>
</file>